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sha\Downloads\"/>
    </mc:Choice>
  </mc:AlternateContent>
  <xr:revisionPtr revIDLastSave="0" documentId="13_ncr:1_{8099186C-0A62-4686-8E7D-2AEC7C56D42B}" xr6:coauthVersionLast="47" xr6:coauthVersionMax="47" xr10:uidLastSave="{00000000-0000-0000-0000-000000000000}"/>
  <bookViews>
    <workbookView xWindow="-108" yWindow="-108" windowWidth="23256" windowHeight="12456" tabRatio="865" firstSheet="13" activeTab="18" xr2:uid="{00000000-000D-0000-FFFF-FFFF00000000}"/>
  </bookViews>
  <sheets>
    <sheet name="DATA ENTRY RELATED FUNCTION " sheetId="75" r:id="rId1"/>
    <sheet name="01 VLOOKUP" sheetId="47" r:id="rId2"/>
    <sheet name="VLOOKUP " sheetId="85" r:id="rId3"/>
    <sheet name="02 AND" sheetId="65" r:id="rId4"/>
    <sheet name="AND" sheetId="59" r:id="rId5"/>
    <sheet name="03  UPPER " sheetId="62" r:id="rId6"/>
    <sheet name="UPPER" sheetId="60" r:id="rId7"/>
    <sheet name="04 EXACT" sheetId="63" r:id="rId8"/>
    <sheet name="EXACT" sheetId="61" r:id="rId9"/>
    <sheet name="05 IF" sheetId="64" r:id="rId10"/>
    <sheet name="IF" sheetId="67" r:id="rId11"/>
    <sheet name="06 DATA VALIDATION " sheetId="66" r:id="rId12"/>
    <sheet name="DATA VALIDATION" sheetId="58" r:id="rId13"/>
    <sheet name="07 ISNUMBER " sheetId="68" r:id="rId14"/>
    <sheet name="ISNUMBER" sheetId="72" r:id="rId15"/>
    <sheet name="08 ISTEXT" sheetId="69" r:id="rId16"/>
    <sheet name="ISTEXT" sheetId="80" r:id="rId17"/>
    <sheet name="09 MACRO RECORD " sheetId="70" r:id="rId18"/>
    <sheet name="MACRO RECORD " sheetId="74" r:id="rId19"/>
    <sheet name="10 IFERROR " sheetId="76" r:id="rId20"/>
    <sheet name="IFERROR" sheetId="71" r:id="rId21"/>
    <sheet name="11 LEN" sheetId="78" r:id="rId22"/>
    <sheet name="LEN" sheetId="79" r:id="rId23"/>
    <sheet name="12 COUNTIF" sheetId="82" r:id="rId24"/>
    <sheet name="COUNTIF" sheetId="84" r:id="rId25"/>
  </sheets>
  <externalReferences>
    <externalReference r:id="rId26"/>
    <externalReference r:id="rId27"/>
    <externalReference r:id="rId28"/>
  </externalReferences>
  <definedNames>
    <definedName name="_xlnm._FilterDatabase" localSheetId="24" hidden="1">COUNTIF!$A$1:$D$11</definedName>
    <definedName name="a4CFQDQ" localSheetId="1" hidden="1">{"FirstQ",#N/A,FALSE,"Budget2000";"SecondQ",#N/A,FALSE,"Budget2000";"Summary",#N/A,FALSE,"Budget2000"}</definedName>
    <definedName name="a4CFQDQ" localSheetId="3" hidden="1">{"FirstQ",#N/A,FALSE,"Budget2000";"SecondQ",#N/A,FALSE,"Budget2000";"Summary",#N/A,FALSE,"Budget2000"}</definedName>
    <definedName name="a4CFQDQ" localSheetId="5" hidden="1">{"FirstQ",#N/A,FALSE,"Budget2000";"SecondQ",#N/A,FALSE,"Budget2000";"Summary",#N/A,FALSE,"Budget2000"}</definedName>
    <definedName name="a4CFQDQ" localSheetId="7" hidden="1">{"FirstQ",#N/A,FALSE,"Budget2000";"SecondQ",#N/A,FALSE,"Budget2000";"Summary",#N/A,FALSE,"Budget2000"}</definedName>
    <definedName name="a4CFQDQ" localSheetId="9" hidden="1">{"FirstQ",#N/A,FALSE,"Budget2000";"SecondQ",#N/A,FALSE,"Budget2000";"Summary",#N/A,FALSE,"Budget2000"}</definedName>
    <definedName name="a4CFQDQ" localSheetId="11" hidden="1">{"FirstQ",#N/A,FALSE,"Budget2000";"SecondQ",#N/A,FALSE,"Budget2000";"Summary",#N/A,FALSE,"Budget2000"}</definedName>
    <definedName name="a4CFQDQ" localSheetId="13" hidden="1">{"FirstQ",#N/A,FALSE,"Budget2000";"SecondQ",#N/A,FALSE,"Budget2000";"Summary",#N/A,FALSE,"Budget2000"}</definedName>
    <definedName name="a4CFQDQ" localSheetId="15" hidden="1">{"FirstQ",#N/A,FALSE,"Budget2000";"SecondQ",#N/A,FALSE,"Budget2000";"Summary",#N/A,FALSE,"Budget2000"}</definedName>
    <definedName name="a4CFQDQ" localSheetId="17" hidden="1">{"FirstQ",#N/A,FALSE,"Budget2000";"SecondQ",#N/A,FALSE,"Budget2000";"Summary",#N/A,FALSE,"Budget2000"}</definedName>
    <definedName name="a4CFQDQ" localSheetId="19" hidden="1">{"FirstQ",#N/A,FALSE,"Budget2000";"SecondQ",#N/A,FALSE,"Budget2000";"Summary",#N/A,FALSE,"Budget2000"}</definedName>
    <definedName name="a4CFQDQ" localSheetId="21" hidden="1">{"FirstQ",#N/A,FALSE,"Budget2000";"SecondQ",#N/A,FALSE,"Budget2000";"Summary",#N/A,FALSE,"Budget2000"}</definedName>
    <definedName name="a4CFQDQ" localSheetId="23" hidden="1">{"FirstQ",#N/A,FALSE,"Budget2000";"SecondQ",#N/A,FALSE,"Budget2000";"Summary",#N/A,FALSE,"Budget2000"}</definedName>
    <definedName name="a4CFQDQ" localSheetId="24" hidden="1">{"FirstQ",#N/A,FALSE,"Budget2000";"SecondQ",#N/A,FALSE,"Budget2000";"Summary",#N/A,FALSE,"Budget2000"}</definedName>
    <definedName name="a4CFQDQ" localSheetId="0" hidden="1">{"FirstQ",#N/A,FALSE,"Budget2000";"SecondQ",#N/A,FALSE,"Budget2000";"Summary",#N/A,FALSE,"Budget2000"}</definedName>
    <definedName name="a4CFQDQ" hidden="1">{"FirstQ",#N/A,FALSE,"Budget2000";"SecondQ",#N/A,FALSE,"Budget2000";"Summary",#N/A,FALSE,"Budget2000"}</definedName>
    <definedName name="Dates">OFFSET([1]Dynamic!$A$2,0,0,COUNTA([1]Dynamic!$A$1:$A$65536)-1,1)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7" hidden="1">{"FirstQ",#N/A,FALSE,"Budget2000";"SecondQ",#N/A,FALSE,"Budget2000";"Summary",#N/A,FALSE,"Budget2000"}</definedName>
    <definedName name="ee" localSheetId="9" hidden="1">{"FirstQ",#N/A,FALSE,"Budget2000";"SecondQ",#N/A,FALSE,"Budget2000";"Summary",#N/A,FALSE,"Budget2000"}</definedName>
    <definedName name="ee" localSheetId="11" hidden="1">{"FirstQ",#N/A,FALSE,"Budget2000";"SecondQ",#N/A,FALSE,"Budget2000";"Summary",#N/A,FALSE,"Budget2000"}</definedName>
    <definedName name="ee" localSheetId="13" hidden="1">{"FirstQ",#N/A,FALSE,"Budget2000";"SecondQ",#N/A,FALSE,"Budget2000";"Summary",#N/A,FALSE,"Budget2000"}</definedName>
    <definedName name="ee" localSheetId="15" hidden="1">{"FirstQ",#N/A,FALSE,"Budget2000";"SecondQ",#N/A,FALSE,"Budget2000";"Summary",#N/A,FALSE,"Budget2000"}</definedName>
    <definedName name="ee" localSheetId="17" hidden="1">{"FirstQ",#N/A,FALSE,"Budget2000";"SecondQ",#N/A,FALSE,"Budget2000";"Summary",#N/A,FALSE,"Budget2000"}</definedName>
    <definedName name="ee" localSheetId="19" hidden="1">{"FirstQ",#N/A,FALSE,"Budget2000";"SecondQ",#N/A,FALSE,"Budget2000";"Summary",#N/A,FALSE,"Budget2000"}</definedName>
    <definedName name="ee" localSheetId="21" hidden="1">{"FirstQ",#N/A,FALSE,"Budget2000";"SecondQ",#N/A,FALSE,"Budget2000";"Summary",#N/A,FALSE,"Budget2000"}</definedName>
    <definedName name="ee" localSheetId="23" hidden="1">{"FirstQ",#N/A,FALSE,"Budget2000";"SecondQ",#N/A,FALSE,"Budget2000";"Summary",#N/A,FALSE,"Budget2000"}</definedName>
    <definedName name="ee" localSheetId="24" hidden="1">{"FirstQ",#N/A,FALSE,"Budget2000";"SecondQ",#N/A,FALSE,"Budget2000";"Summary",#N/A,FALSE,"Budget2000"}</definedName>
    <definedName name="ee" localSheetId="0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Expenses2010" localSheetId="8">#REF!</definedName>
    <definedName name="Expenses2010">#REF!</definedName>
    <definedName name="FAERRHTRRSYYWEE2" localSheetId="1" hidden="1">{"AllDetail",#N/A,FALSE,"Research Budget";"1stQuarter",#N/A,FALSE,"Research Budget";"2nd Quarter",#N/A,FALSE,"Research Budget";"Summary",#N/A,FALSE,"Research Budget"}</definedName>
    <definedName name="FAERRHTRRSYYWEE2" localSheetId="3" hidden="1">{"AllDetail",#N/A,FALSE,"Research Budget";"1stQuarter",#N/A,FALSE,"Research Budget";"2nd Quarter",#N/A,FALSE,"Research Budget";"Summary",#N/A,FALSE,"Research Budget"}</definedName>
    <definedName name="FAERRHTRRSYYWEE2" localSheetId="5" hidden="1">{"AllDetail",#N/A,FALSE,"Research Budget";"1stQuarter",#N/A,FALSE,"Research Budget";"2nd Quarter",#N/A,FALSE,"Research Budget";"Summary",#N/A,FALSE,"Research Budget"}</definedName>
    <definedName name="FAERRHTRRSYYWEE2" localSheetId="7" hidden="1">{"AllDetail",#N/A,FALSE,"Research Budget";"1stQuarter",#N/A,FALSE,"Research Budget";"2nd Quarter",#N/A,FALSE,"Research Budget";"Summary",#N/A,FALSE,"Research Budget"}</definedName>
    <definedName name="FAERRHTRRSYYWEE2" localSheetId="9" hidden="1">{"AllDetail",#N/A,FALSE,"Research Budget";"1stQuarter",#N/A,FALSE,"Research Budget";"2nd Quarter",#N/A,FALSE,"Research Budget";"Summary",#N/A,FALSE,"Research Budget"}</definedName>
    <definedName name="FAERRHTRRSYYWEE2" localSheetId="11" hidden="1">{"AllDetail",#N/A,FALSE,"Research Budget";"1stQuarter",#N/A,FALSE,"Research Budget";"2nd Quarter",#N/A,FALSE,"Research Budget";"Summary",#N/A,FALSE,"Research Budget"}</definedName>
    <definedName name="FAERRHTRRSYYWEE2" localSheetId="13" hidden="1">{"AllDetail",#N/A,FALSE,"Research Budget";"1stQuarter",#N/A,FALSE,"Research Budget";"2nd Quarter",#N/A,FALSE,"Research Budget";"Summary",#N/A,FALSE,"Research Budget"}</definedName>
    <definedName name="FAERRHTRRSYYWEE2" localSheetId="15" hidden="1">{"AllDetail",#N/A,FALSE,"Research Budget";"1stQuarter",#N/A,FALSE,"Research Budget";"2nd Quarter",#N/A,FALSE,"Research Budget";"Summary",#N/A,FALSE,"Research Budget"}</definedName>
    <definedName name="FAERRHTRRSYYWEE2" localSheetId="17" hidden="1">{"AllDetail",#N/A,FALSE,"Research Budget";"1stQuarter",#N/A,FALSE,"Research Budget";"2nd Quarter",#N/A,FALSE,"Research Budget";"Summary",#N/A,FALSE,"Research Budget"}</definedName>
    <definedName name="FAERRHTRRSYYWEE2" localSheetId="19" hidden="1">{"AllDetail",#N/A,FALSE,"Research Budget";"1stQuarter",#N/A,FALSE,"Research Budget";"2nd Quarter",#N/A,FALSE,"Research Budget";"Summary",#N/A,FALSE,"Research Budget"}</definedName>
    <definedName name="FAERRHTRRSYYWEE2" localSheetId="21" hidden="1">{"AllDetail",#N/A,FALSE,"Research Budget";"1stQuarter",#N/A,FALSE,"Research Budget";"2nd Quarter",#N/A,FALSE,"Research Budget";"Summary",#N/A,FALSE,"Research Budget"}</definedName>
    <definedName name="FAERRHTRRSYYWEE2" localSheetId="23" hidden="1">{"AllDetail",#N/A,FALSE,"Research Budget";"1stQuarter",#N/A,FALSE,"Research Budget";"2nd Quarter",#N/A,FALSE,"Research Budget";"Summary",#N/A,FALSE,"Research Budget"}</definedName>
    <definedName name="FAERRHTRRSYYWEE2" localSheetId="24" hidden="1">{"AllDetail",#N/A,FALSE,"Research Budget";"1stQuarter",#N/A,FALSE,"Research Budget";"2nd Quarter",#N/A,FALSE,"Research Budget";"Summary",#N/A,FALSE,"Research Budget"}</definedName>
    <definedName name="FAERRHTRRSYYWEE2" localSheetId="0" hidden="1">{"AllDetail",#N/A,FALSE,"Research Budget";"1stQuarter",#N/A,FALSE,"Research Budget";"2nd Quarter",#N/A,FALSE,"Research Budget";"Summary",#N/A,FALSE,"Research Budget"}</definedName>
    <definedName name="FAERRHTRRSYYWEE2" hidden="1">{"AllDetail",#N/A,FALSE,"Research Budget";"1stQuarter",#N/A,FALSE,"Research Budget";"2nd Quarter",#N/A,FALSE,"Research Budget";"Summary",#N/A,FALSE,"Research Budget"}</definedName>
    <definedName name="FDASFS" localSheetId="1" hidden="1">{"FirstQ",#N/A,FALSE,"Budget2000";"SecondQ",#N/A,FALSE,"Budget2000";"Summary",#N/A,FALSE,"Budget2000"}</definedName>
    <definedName name="FDASFS" localSheetId="3" hidden="1">{"FirstQ",#N/A,FALSE,"Budget2000";"SecondQ",#N/A,FALSE,"Budget2000";"Summary",#N/A,FALSE,"Budget2000"}</definedName>
    <definedName name="FDASFS" localSheetId="5" hidden="1">{"FirstQ",#N/A,FALSE,"Budget2000";"SecondQ",#N/A,FALSE,"Budget2000";"Summary",#N/A,FALSE,"Budget2000"}</definedName>
    <definedName name="FDASFS" localSheetId="7" hidden="1">{"FirstQ",#N/A,FALSE,"Budget2000";"SecondQ",#N/A,FALSE,"Budget2000";"Summary",#N/A,FALSE,"Budget2000"}</definedName>
    <definedName name="FDASFS" localSheetId="9" hidden="1">{"FirstQ",#N/A,FALSE,"Budget2000";"SecondQ",#N/A,FALSE,"Budget2000";"Summary",#N/A,FALSE,"Budget2000"}</definedName>
    <definedName name="FDASFS" localSheetId="11" hidden="1">{"FirstQ",#N/A,FALSE,"Budget2000";"SecondQ",#N/A,FALSE,"Budget2000";"Summary",#N/A,FALSE,"Budget2000"}</definedName>
    <definedName name="FDASFS" localSheetId="13" hidden="1">{"FirstQ",#N/A,FALSE,"Budget2000";"SecondQ",#N/A,FALSE,"Budget2000";"Summary",#N/A,FALSE,"Budget2000"}</definedName>
    <definedName name="FDASFS" localSheetId="15" hidden="1">{"FirstQ",#N/A,FALSE,"Budget2000";"SecondQ",#N/A,FALSE,"Budget2000";"Summary",#N/A,FALSE,"Budget2000"}</definedName>
    <definedName name="FDASFS" localSheetId="17" hidden="1">{"FirstQ",#N/A,FALSE,"Budget2000";"SecondQ",#N/A,FALSE,"Budget2000";"Summary",#N/A,FALSE,"Budget2000"}</definedName>
    <definedName name="FDASFS" localSheetId="19" hidden="1">{"FirstQ",#N/A,FALSE,"Budget2000";"SecondQ",#N/A,FALSE,"Budget2000";"Summary",#N/A,FALSE,"Budget2000"}</definedName>
    <definedName name="FDASFS" localSheetId="21" hidden="1">{"FirstQ",#N/A,FALSE,"Budget2000";"SecondQ",#N/A,FALSE,"Budget2000";"Summary",#N/A,FALSE,"Budget2000"}</definedName>
    <definedName name="FDASFS" localSheetId="23" hidden="1">{"FirstQ",#N/A,FALSE,"Budget2000";"SecondQ",#N/A,FALSE,"Budget2000";"Summary",#N/A,FALSE,"Budget2000"}</definedName>
    <definedName name="FDASFS" localSheetId="24" hidden="1">{"FirstQ",#N/A,FALSE,"Budget2000";"SecondQ",#N/A,FALSE,"Budget2000";"Summary",#N/A,FALSE,"Budget2000"}</definedName>
    <definedName name="FDASFS" localSheetId="0" hidden="1">{"FirstQ",#N/A,FALSE,"Budget2000";"SecondQ",#N/A,FALSE,"Budget2000";"Summary",#N/A,FALSE,"Budget2000"}</definedName>
    <definedName name="FDASFS" hidden="1">{"FirstQ",#N/A,FALSE,"Budget2000";"SecondQ",#N/A,FALSE,"Budget2000";"Summary",#N/A,FALSE,"Budget2000"}</definedName>
    <definedName name="FR3RRQ" localSheetId="1" hidden="1">{"AllDetail",#N/A,FALSE,"Research Budget";"1stQuarter",#N/A,FALSE,"Research Budget";"2nd Quarter",#N/A,FALSE,"Research Budget";"Summary",#N/A,FALSE,"Research Budget"}</definedName>
    <definedName name="FR3RRQ" localSheetId="3" hidden="1">{"AllDetail",#N/A,FALSE,"Research Budget";"1stQuarter",#N/A,FALSE,"Research Budget";"2nd Quarter",#N/A,FALSE,"Research Budget";"Summary",#N/A,FALSE,"Research Budget"}</definedName>
    <definedName name="FR3RRQ" localSheetId="5" hidden="1">{"AllDetail",#N/A,FALSE,"Research Budget";"1stQuarter",#N/A,FALSE,"Research Budget";"2nd Quarter",#N/A,FALSE,"Research Budget";"Summary",#N/A,FALSE,"Research Budget"}</definedName>
    <definedName name="FR3RRQ" localSheetId="7" hidden="1">{"AllDetail",#N/A,FALSE,"Research Budget";"1stQuarter",#N/A,FALSE,"Research Budget";"2nd Quarter",#N/A,FALSE,"Research Budget";"Summary",#N/A,FALSE,"Research Budget"}</definedName>
    <definedName name="FR3RRQ" localSheetId="9" hidden="1">{"AllDetail",#N/A,FALSE,"Research Budget";"1stQuarter",#N/A,FALSE,"Research Budget";"2nd Quarter",#N/A,FALSE,"Research Budget";"Summary",#N/A,FALSE,"Research Budget"}</definedName>
    <definedName name="FR3RRQ" localSheetId="11" hidden="1">{"AllDetail",#N/A,FALSE,"Research Budget";"1stQuarter",#N/A,FALSE,"Research Budget";"2nd Quarter",#N/A,FALSE,"Research Budget";"Summary",#N/A,FALSE,"Research Budget"}</definedName>
    <definedName name="FR3RRQ" localSheetId="13" hidden="1">{"AllDetail",#N/A,FALSE,"Research Budget";"1stQuarter",#N/A,FALSE,"Research Budget";"2nd Quarter",#N/A,FALSE,"Research Budget";"Summary",#N/A,FALSE,"Research Budget"}</definedName>
    <definedName name="FR3RRQ" localSheetId="15" hidden="1">{"AllDetail",#N/A,FALSE,"Research Budget";"1stQuarter",#N/A,FALSE,"Research Budget";"2nd Quarter",#N/A,FALSE,"Research Budget";"Summary",#N/A,FALSE,"Research Budget"}</definedName>
    <definedName name="FR3RRQ" localSheetId="17" hidden="1">{"AllDetail",#N/A,FALSE,"Research Budget";"1stQuarter",#N/A,FALSE,"Research Budget";"2nd Quarter",#N/A,FALSE,"Research Budget";"Summary",#N/A,FALSE,"Research Budget"}</definedName>
    <definedName name="FR3RRQ" localSheetId="19" hidden="1">{"AllDetail",#N/A,FALSE,"Research Budget";"1stQuarter",#N/A,FALSE,"Research Budget";"2nd Quarter",#N/A,FALSE,"Research Budget";"Summary",#N/A,FALSE,"Research Budget"}</definedName>
    <definedName name="FR3RRQ" localSheetId="21" hidden="1">{"AllDetail",#N/A,FALSE,"Research Budget";"1stQuarter",#N/A,FALSE,"Research Budget";"2nd Quarter",#N/A,FALSE,"Research Budget";"Summary",#N/A,FALSE,"Research Budget"}</definedName>
    <definedName name="FR3RRQ" localSheetId="23" hidden="1">{"AllDetail",#N/A,FALSE,"Research Budget";"1stQuarter",#N/A,FALSE,"Research Budget";"2nd Quarter",#N/A,FALSE,"Research Budget";"Summary",#N/A,FALSE,"Research Budget"}</definedName>
    <definedName name="FR3RRQ" localSheetId="24" hidden="1">{"AllDetail",#N/A,FALSE,"Research Budget";"1stQuarter",#N/A,FALSE,"Research Budget";"2nd Quarter",#N/A,FALSE,"Research Budget";"Summary",#N/A,FALSE,"Research Budget"}</definedName>
    <definedName name="FR3RRQ" localSheetId="0" hidden="1">{"AllDetail",#N/A,FALSE,"Research Budget";"1stQuarter",#N/A,FALSE,"Research Budget";"2nd Quarter",#N/A,FALSE,"Research Budget";"Summary",#N/A,FALSE,"Research Budget"}</definedName>
    <definedName name="FR3RRQ" hidden="1">{"AllDetail",#N/A,FALSE,"Research Budget";"1stQuarter",#N/A,FALSE,"Research Budget";"2nd Quarter",#N/A,FALSE,"Research Budget";"Summary",#N/A,FALSE,"Research Budget"}</definedName>
    <definedName name="GGDSGDDGG" localSheetId="1" hidden="1">{"FirstQ",#N/A,FALSE,"Budget2000";"SecondQ",#N/A,FALSE,"Budget2000"}</definedName>
    <definedName name="GGDSGDDGG" localSheetId="3" hidden="1">{"FirstQ",#N/A,FALSE,"Budget2000";"SecondQ",#N/A,FALSE,"Budget2000"}</definedName>
    <definedName name="GGDSGDDGG" localSheetId="5" hidden="1">{"FirstQ",#N/A,FALSE,"Budget2000";"SecondQ",#N/A,FALSE,"Budget2000"}</definedName>
    <definedName name="GGDSGDDGG" localSheetId="7" hidden="1">{"FirstQ",#N/A,FALSE,"Budget2000";"SecondQ",#N/A,FALSE,"Budget2000"}</definedName>
    <definedName name="GGDSGDDGG" localSheetId="9" hidden="1">{"FirstQ",#N/A,FALSE,"Budget2000";"SecondQ",#N/A,FALSE,"Budget2000"}</definedName>
    <definedName name="GGDSGDDGG" localSheetId="11" hidden="1">{"FirstQ",#N/A,FALSE,"Budget2000";"SecondQ",#N/A,FALSE,"Budget2000"}</definedName>
    <definedName name="GGDSGDDGG" localSheetId="13" hidden="1">{"FirstQ",#N/A,FALSE,"Budget2000";"SecondQ",#N/A,FALSE,"Budget2000"}</definedName>
    <definedName name="GGDSGDDGG" localSheetId="15" hidden="1">{"FirstQ",#N/A,FALSE,"Budget2000";"SecondQ",#N/A,FALSE,"Budget2000"}</definedName>
    <definedName name="GGDSGDDGG" localSheetId="17" hidden="1">{"FirstQ",#N/A,FALSE,"Budget2000";"SecondQ",#N/A,FALSE,"Budget2000"}</definedName>
    <definedName name="GGDSGDDGG" localSheetId="19" hidden="1">{"FirstQ",#N/A,FALSE,"Budget2000";"SecondQ",#N/A,FALSE,"Budget2000"}</definedName>
    <definedName name="GGDSGDDGG" localSheetId="21" hidden="1">{"FirstQ",#N/A,FALSE,"Budget2000";"SecondQ",#N/A,FALSE,"Budget2000"}</definedName>
    <definedName name="GGDSGDDGG" localSheetId="23" hidden="1">{"FirstQ",#N/A,FALSE,"Budget2000";"SecondQ",#N/A,FALSE,"Budget2000"}</definedName>
    <definedName name="GGDSGDDGG" localSheetId="24" hidden="1">{"FirstQ",#N/A,FALSE,"Budget2000";"SecondQ",#N/A,FALSE,"Budget2000"}</definedName>
    <definedName name="GGDSGDDGG" localSheetId="0" hidden="1">{"FirstQ",#N/A,FALSE,"Budget2000";"SecondQ",#N/A,FALSE,"Budget2000"}</definedName>
    <definedName name="GGDSGDDGG" hidden="1">{"FirstQ",#N/A,FALSE,"Budget2000";"SecondQ",#N/A,FALSE,"Budget2000"}</definedName>
    <definedName name="Income2010" localSheetId="8">#REF!</definedName>
    <definedName name="Income2010">#REF!</definedName>
    <definedName name="INVENTORYIN">#REF!</definedName>
    <definedName name="ITEMTABLE">#REF!</definedName>
    <definedName name="JWDKSDK" localSheetId="1" hidden="1">{"FirstQ",#N/A,FALSE,"Budget2000";"SecondQ",#N/A,FALSE,"Budget2000";"Summary",#N/A,FALSE,"Budget2000"}</definedName>
    <definedName name="JWDKSDK" localSheetId="3" hidden="1">{"FirstQ",#N/A,FALSE,"Budget2000";"SecondQ",#N/A,FALSE,"Budget2000";"Summary",#N/A,FALSE,"Budget2000"}</definedName>
    <definedName name="JWDKSDK" localSheetId="5" hidden="1">{"FirstQ",#N/A,FALSE,"Budget2000";"SecondQ",#N/A,FALSE,"Budget2000";"Summary",#N/A,FALSE,"Budget2000"}</definedName>
    <definedName name="JWDKSDK" localSheetId="7" hidden="1">{"FirstQ",#N/A,FALSE,"Budget2000";"SecondQ",#N/A,FALSE,"Budget2000";"Summary",#N/A,FALSE,"Budget2000"}</definedName>
    <definedName name="JWDKSDK" localSheetId="9" hidden="1">{"FirstQ",#N/A,FALSE,"Budget2000";"SecondQ",#N/A,FALSE,"Budget2000";"Summary",#N/A,FALSE,"Budget2000"}</definedName>
    <definedName name="JWDKSDK" localSheetId="11" hidden="1">{"FirstQ",#N/A,FALSE,"Budget2000";"SecondQ",#N/A,FALSE,"Budget2000";"Summary",#N/A,FALSE,"Budget2000"}</definedName>
    <definedName name="JWDKSDK" localSheetId="13" hidden="1">{"FirstQ",#N/A,FALSE,"Budget2000";"SecondQ",#N/A,FALSE,"Budget2000";"Summary",#N/A,FALSE,"Budget2000"}</definedName>
    <definedName name="JWDKSDK" localSheetId="15" hidden="1">{"FirstQ",#N/A,FALSE,"Budget2000";"SecondQ",#N/A,FALSE,"Budget2000";"Summary",#N/A,FALSE,"Budget2000"}</definedName>
    <definedName name="JWDKSDK" localSheetId="17" hidden="1">{"FirstQ",#N/A,FALSE,"Budget2000";"SecondQ",#N/A,FALSE,"Budget2000";"Summary",#N/A,FALSE,"Budget2000"}</definedName>
    <definedName name="JWDKSDK" localSheetId="19" hidden="1">{"FirstQ",#N/A,FALSE,"Budget2000";"SecondQ",#N/A,FALSE,"Budget2000";"Summary",#N/A,FALSE,"Budget2000"}</definedName>
    <definedName name="JWDKSDK" localSheetId="21" hidden="1">{"FirstQ",#N/A,FALSE,"Budget2000";"SecondQ",#N/A,FALSE,"Budget2000";"Summary",#N/A,FALSE,"Budget2000"}</definedName>
    <definedName name="JWDKSDK" localSheetId="23" hidden="1">{"FirstQ",#N/A,FALSE,"Budget2000";"SecondQ",#N/A,FALSE,"Budget2000";"Summary",#N/A,FALSE,"Budget2000"}</definedName>
    <definedName name="JWDKSDK" localSheetId="24" hidden="1">{"FirstQ",#N/A,FALSE,"Budget2000";"SecondQ",#N/A,FALSE,"Budget2000";"Summary",#N/A,FALSE,"Budget2000"}</definedName>
    <definedName name="JWDKSDK" localSheetId="0" hidden="1">{"FirstQ",#N/A,FALSE,"Budget2000";"SecondQ",#N/A,FALSE,"Budget2000";"Summary",#N/A,FALSE,"Budget2000"}</definedName>
    <definedName name="JWDKSDK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7" hidden="1">{"FirstQ",#N/A,FALSE,"Budget2000";"SecondQ",#N/A,FALSE,"Budget2000";"Summary",#N/A,FALSE,"Budget2000"}</definedName>
    <definedName name="k" localSheetId="9" hidden="1">{"FirstQ",#N/A,FALSE,"Budget2000";"SecondQ",#N/A,FALSE,"Budget2000";"Summary",#N/A,FALSE,"Budget2000"}</definedName>
    <definedName name="k" localSheetId="11" hidden="1">{"FirstQ",#N/A,FALSE,"Budget2000";"SecondQ",#N/A,FALSE,"Budget2000";"Summary",#N/A,FALSE,"Budget2000"}</definedName>
    <definedName name="k" localSheetId="13" hidden="1">{"FirstQ",#N/A,FALSE,"Budget2000";"SecondQ",#N/A,FALSE,"Budget2000";"Summary",#N/A,FALSE,"Budget2000"}</definedName>
    <definedName name="k" localSheetId="15" hidden="1">{"FirstQ",#N/A,FALSE,"Budget2000";"SecondQ",#N/A,FALSE,"Budget2000";"Summary",#N/A,FALSE,"Budget2000"}</definedName>
    <definedName name="k" localSheetId="17" hidden="1">{"FirstQ",#N/A,FALSE,"Budget2000";"SecondQ",#N/A,FALSE,"Budget2000";"Summary",#N/A,FALSE,"Budget2000"}</definedName>
    <definedName name="k" localSheetId="19" hidden="1">{"FirstQ",#N/A,FALSE,"Budget2000";"SecondQ",#N/A,FALSE,"Budget2000";"Summary",#N/A,FALSE,"Budget2000"}</definedName>
    <definedName name="k" localSheetId="21" hidden="1">{"FirstQ",#N/A,FALSE,"Budget2000";"SecondQ",#N/A,FALSE,"Budget2000";"Summary",#N/A,FALSE,"Budget2000"}</definedName>
    <definedName name="k" localSheetId="23" hidden="1">{"FirstQ",#N/A,FALSE,"Budget2000";"SecondQ",#N/A,FALSE,"Budget2000";"Summary",#N/A,FALSE,"Budget2000"}</definedName>
    <definedName name="k" localSheetId="24" hidden="1">{"FirstQ",#N/A,FALSE,"Budget2000";"SecondQ",#N/A,FALSE,"Budget2000";"Summary",#N/A,FALSE,"Budget2000"}</definedName>
    <definedName name="k" localSheetId="0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KLKKLJLJL" localSheetId="1" hidden="1">{"FirstQ",#N/A,FALSE,"Budget2000";"SecondQ",#N/A,FALSE,"Budget2000";"Summary",#N/A,FALSE,"Budget2000"}</definedName>
    <definedName name="KLKKLJLJL" localSheetId="3" hidden="1">{"FirstQ",#N/A,FALSE,"Budget2000";"SecondQ",#N/A,FALSE,"Budget2000";"Summary",#N/A,FALSE,"Budget2000"}</definedName>
    <definedName name="KLKKLJLJL" localSheetId="5" hidden="1">{"FirstQ",#N/A,FALSE,"Budget2000";"SecondQ",#N/A,FALSE,"Budget2000";"Summary",#N/A,FALSE,"Budget2000"}</definedName>
    <definedName name="KLKKLJLJL" localSheetId="7" hidden="1">{"FirstQ",#N/A,FALSE,"Budget2000";"SecondQ",#N/A,FALSE,"Budget2000";"Summary",#N/A,FALSE,"Budget2000"}</definedName>
    <definedName name="KLKKLJLJL" localSheetId="9" hidden="1">{"FirstQ",#N/A,FALSE,"Budget2000";"SecondQ",#N/A,FALSE,"Budget2000";"Summary",#N/A,FALSE,"Budget2000"}</definedName>
    <definedName name="KLKKLJLJL" localSheetId="11" hidden="1">{"FirstQ",#N/A,FALSE,"Budget2000";"SecondQ",#N/A,FALSE,"Budget2000";"Summary",#N/A,FALSE,"Budget2000"}</definedName>
    <definedName name="KLKKLJLJL" localSheetId="13" hidden="1">{"FirstQ",#N/A,FALSE,"Budget2000";"SecondQ",#N/A,FALSE,"Budget2000";"Summary",#N/A,FALSE,"Budget2000"}</definedName>
    <definedName name="KLKKLJLJL" localSheetId="15" hidden="1">{"FirstQ",#N/A,FALSE,"Budget2000";"SecondQ",#N/A,FALSE,"Budget2000";"Summary",#N/A,FALSE,"Budget2000"}</definedName>
    <definedName name="KLKKLJLJL" localSheetId="17" hidden="1">{"FirstQ",#N/A,FALSE,"Budget2000";"SecondQ",#N/A,FALSE,"Budget2000";"Summary",#N/A,FALSE,"Budget2000"}</definedName>
    <definedName name="KLKKLJLJL" localSheetId="19" hidden="1">{"FirstQ",#N/A,FALSE,"Budget2000";"SecondQ",#N/A,FALSE,"Budget2000";"Summary",#N/A,FALSE,"Budget2000"}</definedName>
    <definedName name="KLKKLJLJL" localSheetId="21" hidden="1">{"FirstQ",#N/A,FALSE,"Budget2000";"SecondQ",#N/A,FALSE,"Budget2000";"Summary",#N/A,FALSE,"Budget2000"}</definedName>
    <definedName name="KLKKLJLJL" localSheetId="23" hidden="1">{"FirstQ",#N/A,FALSE,"Budget2000";"SecondQ",#N/A,FALSE,"Budget2000";"Summary",#N/A,FALSE,"Budget2000"}</definedName>
    <definedName name="KLKKLJLJL" localSheetId="24" hidden="1">{"FirstQ",#N/A,FALSE,"Budget2000";"SecondQ",#N/A,FALSE,"Budget2000";"Summary",#N/A,FALSE,"Budget2000"}</definedName>
    <definedName name="KLKKLJLJL" localSheetId="0" hidden="1">{"FirstQ",#N/A,FALSE,"Budget2000";"SecondQ",#N/A,FALSE,"Budget2000";"Summary",#N/A,FALSE,"Budget2000"}</definedName>
    <definedName name="KLKKLJLJL" hidden="1">{"FirstQ",#N/A,FALSE,"Budget2000";"SecondQ",#N/A,FALSE,"Budget2000";"Summary",#N/A,FALSE,"Budget2000"}</definedName>
    <definedName name="MonthList">[2]TwoWayLookup!$D$2:$D$13</definedName>
    <definedName name="OO" localSheetId="1" hidden="1">{"AllDetail",#N/A,FALSE,"Research Budget";"1stQuarter",#N/A,FALSE,"Research Budget";"2nd Quarter",#N/A,FALSE,"Research Budget";"Summary",#N/A,FALSE,"Research Budget"}</definedName>
    <definedName name="OO" localSheetId="3" hidden="1">{"AllDetail",#N/A,FALSE,"Research Budget";"1stQuarter",#N/A,FALSE,"Research Budget";"2nd Quarter",#N/A,FALSE,"Research Budget";"Summary",#N/A,FALSE,"Research Budget"}</definedName>
    <definedName name="OO" localSheetId="5" hidden="1">{"AllDetail",#N/A,FALSE,"Research Budget";"1stQuarter",#N/A,FALSE,"Research Budget";"2nd Quarter",#N/A,FALSE,"Research Budget";"Summary",#N/A,FALSE,"Research Budget"}</definedName>
    <definedName name="OO" localSheetId="7" hidden="1">{"AllDetail",#N/A,FALSE,"Research Budget";"1stQuarter",#N/A,FALSE,"Research Budget";"2nd Quarter",#N/A,FALSE,"Research Budget";"Summary",#N/A,FALSE,"Research Budget"}</definedName>
    <definedName name="OO" localSheetId="9" hidden="1">{"AllDetail",#N/A,FALSE,"Research Budget";"1stQuarter",#N/A,FALSE,"Research Budget";"2nd Quarter",#N/A,FALSE,"Research Budget";"Summary",#N/A,FALSE,"Research Budget"}</definedName>
    <definedName name="OO" localSheetId="11" hidden="1">{"AllDetail",#N/A,FALSE,"Research Budget";"1stQuarter",#N/A,FALSE,"Research Budget";"2nd Quarter",#N/A,FALSE,"Research Budget";"Summary",#N/A,FALSE,"Research Budget"}</definedName>
    <definedName name="OO" localSheetId="13" hidden="1">{"AllDetail",#N/A,FALSE,"Research Budget";"1stQuarter",#N/A,FALSE,"Research Budget";"2nd Quarter",#N/A,FALSE,"Research Budget";"Summary",#N/A,FALSE,"Research Budget"}</definedName>
    <definedName name="OO" localSheetId="15" hidden="1">{"AllDetail",#N/A,FALSE,"Research Budget";"1stQuarter",#N/A,FALSE,"Research Budget";"2nd Quarter",#N/A,FALSE,"Research Budget";"Summary",#N/A,FALSE,"Research Budget"}</definedName>
    <definedName name="OO" localSheetId="17" hidden="1">{"AllDetail",#N/A,FALSE,"Research Budget";"1stQuarter",#N/A,FALSE,"Research Budget";"2nd Quarter",#N/A,FALSE,"Research Budget";"Summary",#N/A,FALSE,"Research Budget"}</definedName>
    <definedName name="OO" localSheetId="19" hidden="1">{"AllDetail",#N/A,FALSE,"Research Budget";"1stQuarter",#N/A,FALSE,"Research Budget";"2nd Quarter",#N/A,FALSE,"Research Budget";"Summary",#N/A,FALSE,"Research Budget"}</definedName>
    <definedName name="OO" localSheetId="21" hidden="1">{"AllDetail",#N/A,FALSE,"Research Budget";"1stQuarter",#N/A,FALSE,"Research Budget";"2nd Quarter",#N/A,FALSE,"Research Budget";"Summary",#N/A,FALSE,"Research Budget"}</definedName>
    <definedName name="OO" localSheetId="23" hidden="1">{"AllDetail",#N/A,FALSE,"Research Budget";"1stQuarter",#N/A,FALSE,"Research Budget";"2nd Quarter",#N/A,FALSE,"Research Budget";"Summary",#N/A,FALSE,"Research Budget"}</definedName>
    <definedName name="OO" localSheetId="24" hidden="1">{"AllDetail",#N/A,FALSE,"Research Budget";"1stQuarter",#N/A,FALSE,"Research Budget";"2nd Quarter",#N/A,FALSE,"Research Budget";"Summary",#N/A,FALSE,"Research Budget"}</definedName>
    <definedName name="OO" localSheetId="0" hidden="1">{"AllDetail",#N/A,FALSE,"Research Budget";"1stQuarter",#N/A,FALSE,"Research Budget";"2nd Quarter",#N/A,FALSE,"Research Budget";"Summary",#N/A,FALSE,"Research Budget"}</definedName>
    <definedName name="OO" hidden="1">{"AllDetail",#N/A,FALSE,"Research Budget";"1stQuarter",#N/A,FALSE,"Research Budget";"2nd Quarter",#N/A,FALSE,"Research Budget";"Summary",#N/A,FALSE,"Research Budget"}</definedName>
    <definedName name="ProductList">[2]TwoWayLookup!$E$1:$J$1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7" hidden="1">{"FirstQ",#N/A,FALSE,"Budget2000";"SecondQ",#N/A,FALSE,"Budget2000";"Summary",#N/A,FALSE,"Budget2000"}</definedName>
    <definedName name="q" localSheetId="9" hidden="1">{"FirstQ",#N/A,FALSE,"Budget2000";"SecondQ",#N/A,FALSE,"Budget2000";"Summary",#N/A,FALSE,"Budget2000"}</definedName>
    <definedName name="q" localSheetId="11" hidden="1">{"FirstQ",#N/A,FALSE,"Budget2000";"SecondQ",#N/A,FALSE,"Budget2000";"Summary",#N/A,FALSE,"Budget2000"}</definedName>
    <definedName name="q" localSheetId="13" hidden="1">{"FirstQ",#N/A,FALSE,"Budget2000";"SecondQ",#N/A,FALSE,"Budget2000";"Summary",#N/A,FALSE,"Budget2000"}</definedName>
    <definedName name="q" localSheetId="15" hidden="1">{"FirstQ",#N/A,FALSE,"Budget2000";"SecondQ",#N/A,FALSE,"Budget2000";"Summary",#N/A,FALSE,"Budget2000"}</definedName>
    <definedName name="q" localSheetId="17" hidden="1">{"FirstQ",#N/A,FALSE,"Budget2000";"SecondQ",#N/A,FALSE,"Budget2000";"Summary",#N/A,FALSE,"Budget2000"}</definedName>
    <definedName name="q" localSheetId="19" hidden="1">{"FirstQ",#N/A,FALSE,"Budget2000";"SecondQ",#N/A,FALSE,"Budget2000";"Summary",#N/A,FALSE,"Budget2000"}</definedName>
    <definedName name="q" localSheetId="21" hidden="1">{"FirstQ",#N/A,FALSE,"Budget2000";"SecondQ",#N/A,FALSE,"Budget2000";"Summary",#N/A,FALSE,"Budget2000"}</definedName>
    <definedName name="q" localSheetId="23" hidden="1">{"FirstQ",#N/A,FALSE,"Budget2000";"SecondQ",#N/A,FALSE,"Budget2000";"Summary",#N/A,FALSE,"Budget2000"}</definedName>
    <definedName name="q" localSheetId="24" hidden="1">{"FirstQ",#N/A,FALSE,"Budget2000";"SecondQ",#N/A,FALSE,"Budget2000";"Summary",#N/A,FALSE,"Budget2000"}</definedName>
    <definedName name="q" localSheetId="0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[3]Lookups!$A$2:$B$8</definedName>
    <definedName name="RegionalTax">[3]NestedVlookup!$N$2:$V$8</definedName>
    <definedName name="Revenue" localSheetId="8">#REF!</definedName>
    <definedName name="Revenue">#REF!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5" hidden="1">{"FirstQ",#N/A,FALSE,"Budget2000";"SecondQ",#N/A,FALSE,"Budget2000"}</definedName>
    <definedName name="rr" localSheetId="7" hidden="1">{"FirstQ",#N/A,FALSE,"Budget2000";"SecondQ",#N/A,FALSE,"Budget2000"}</definedName>
    <definedName name="rr" localSheetId="9" hidden="1">{"FirstQ",#N/A,FALSE,"Budget2000";"SecondQ",#N/A,FALSE,"Budget2000"}</definedName>
    <definedName name="rr" localSheetId="11" hidden="1">{"FirstQ",#N/A,FALSE,"Budget2000";"SecondQ",#N/A,FALSE,"Budget2000"}</definedName>
    <definedName name="rr" localSheetId="13" hidden="1">{"FirstQ",#N/A,FALSE,"Budget2000";"SecondQ",#N/A,FALSE,"Budget2000"}</definedName>
    <definedName name="rr" localSheetId="15" hidden="1">{"FirstQ",#N/A,FALSE,"Budget2000";"SecondQ",#N/A,FALSE,"Budget2000"}</definedName>
    <definedName name="rr" localSheetId="17" hidden="1">{"FirstQ",#N/A,FALSE,"Budget2000";"SecondQ",#N/A,FALSE,"Budget2000"}</definedName>
    <definedName name="rr" localSheetId="19" hidden="1">{"FirstQ",#N/A,FALSE,"Budget2000";"SecondQ",#N/A,FALSE,"Budget2000"}</definedName>
    <definedName name="rr" localSheetId="21" hidden="1">{"FirstQ",#N/A,FALSE,"Budget2000";"SecondQ",#N/A,FALSE,"Budget2000"}</definedName>
    <definedName name="rr" localSheetId="23" hidden="1">{"FirstQ",#N/A,FALSE,"Budget2000";"SecondQ",#N/A,FALSE,"Budget2000"}</definedName>
    <definedName name="rr" localSheetId="24" hidden="1">{"FirstQ",#N/A,FALSE,"Budget2000";"SecondQ",#N/A,FALSE,"Budget2000"}</definedName>
    <definedName name="rr" localSheetId="0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7" hidden="1">{"AllDetail",#N/A,FALSE,"Research Budget";"1stQuarter",#N/A,FALSE,"Research Budget";"2nd Quarter",#N/A,FALSE,"Research Budget";"Summary",#N/A,FALSE,"Research Budget"}</definedName>
    <definedName name="rrr" localSheetId="9" hidden="1">{"AllDetail",#N/A,FALSE,"Research Budget";"1stQuarter",#N/A,FALSE,"Research Budget";"2nd Quarter",#N/A,FALSE,"Research Budget";"Summary",#N/A,FALSE,"Research Budget"}</definedName>
    <definedName name="rrr" localSheetId="11" hidden="1">{"AllDetail",#N/A,FALSE,"Research Budget";"1stQuarter",#N/A,FALSE,"Research Budget";"2nd Quarter",#N/A,FALSE,"Research Budget";"Summary",#N/A,FALSE,"Research Budget"}</definedName>
    <definedName name="rrr" localSheetId="13" hidden="1">{"AllDetail",#N/A,FALSE,"Research Budget";"1stQuarter",#N/A,FALSE,"Research Budget";"2nd Quarter",#N/A,FALSE,"Research Budget";"Summary",#N/A,FALSE,"Research Budget"}</definedName>
    <definedName name="rrr" localSheetId="15" hidden="1">{"AllDetail",#N/A,FALSE,"Research Budget";"1stQuarter",#N/A,FALSE,"Research Budget";"2nd Quarter",#N/A,FALSE,"Research Budget";"Summary",#N/A,FALSE,"Research Budget"}</definedName>
    <definedName name="rrr" localSheetId="17" hidden="1">{"AllDetail",#N/A,FALSE,"Research Budget";"1stQuarter",#N/A,FALSE,"Research Budget";"2nd Quarter",#N/A,FALSE,"Research Budget";"Summary",#N/A,FALSE,"Research Budget"}</definedName>
    <definedName name="rrr" localSheetId="19" hidden="1">{"AllDetail",#N/A,FALSE,"Research Budget";"1stQuarter",#N/A,FALSE,"Research Budget";"2nd Quarter",#N/A,FALSE,"Research Budget";"Summary",#N/A,FALSE,"Research Budget"}</definedName>
    <definedName name="rrr" localSheetId="21" hidden="1">{"AllDetail",#N/A,FALSE,"Research Budget";"1stQuarter",#N/A,FALSE,"Research Budget";"2nd Quarter",#N/A,FALSE,"Research Budget";"Summary",#N/A,FALSE,"Research Budget"}</definedName>
    <definedName name="rrr" localSheetId="23" hidden="1">{"AllDetail",#N/A,FALSE,"Research Budget";"1stQuarter",#N/A,FALSE,"Research Budget";"2nd Quarter",#N/A,FALSE,"Research Budget";"Summary",#N/A,FALSE,"Research Budget"}</definedName>
    <definedName name="rrr" localSheetId="24" hidden="1">{"AllDetail",#N/A,FALSE,"Research Budget";"1stQuarter",#N/A,FALSE,"Research Budget";"2nd Quarter",#N/A,FALSE,"Research Budget";"Summary",#N/A,FALSE,"Research Budget"}</definedName>
    <definedName name="rrr" localSheetId="0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FS34" localSheetId="1" hidden="1">{"FirstQ",#N/A,FALSE,"Budget2000";"SecondQ",#N/A,FALSE,"Budget2000"}</definedName>
    <definedName name="SAFS34" localSheetId="3" hidden="1">{"FirstQ",#N/A,FALSE,"Budget2000";"SecondQ",#N/A,FALSE,"Budget2000"}</definedName>
    <definedName name="SAFS34" localSheetId="5" hidden="1">{"FirstQ",#N/A,FALSE,"Budget2000";"SecondQ",#N/A,FALSE,"Budget2000"}</definedName>
    <definedName name="SAFS34" localSheetId="7" hidden="1">{"FirstQ",#N/A,FALSE,"Budget2000";"SecondQ",#N/A,FALSE,"Budget2000"}</definedName>
    <definedName name="SAFS34" localSheetId="9" hidden="1">{"FirstQ",#N/A,FALSE,"Budget2000";"SecondQ",#N/A,FALSE,"Budget2000"}</definedName>
    <definedName name="SAFS34" localSheetId="11" hidden="1">{"FirstQ",#N/A,FALSE,"Budget2000";"SecondQ",#N/A,FALSE,"Budget2000"}</definedName>
    <definedName name="SAFS34" localSheetId="13" hidden="1">{"FirstQ",#N/A,FALSE,"Budget2000";"SecondQ",#N/A,FALSE,"Budget2000"}</definedName>
    <definedName name="SAFS34" localSheetId="15" hidden="1">{"FirstQ",#N/A,FALSE,"Budget2000";"SecondQ",#N/A,FALSE,"Budget2000"}</definedName>
    <definedName name="SAFS34" localSheetId="17" hidden="1">{"FirstQ",#N/A,FALSE,"Budget2000";"SecondQ",#N/A,FALSE,"Budget2000"}</definedName>
    <definedName name="SAFS34" localSheetId="19" hidden="1">{"FirstQ",#N/A,FALSE,"Budget2000";"SecondQ",#N/A,FALSE,"Budget2000"}</definedName>
    <definedName name="SAFS34" localSheetId="21" hidden="1">{"FirstQ",#N/A,FALSE,"Budget2000";"SecondQ",#N/A,FALSE,"Budget2000"}</definedName>
    <definedName name="SAFS34" localSheetId="23" hidden="1">{"FirstQ",#N/A,FALSE,"Budget2000";"SecondQ",#N/A,FALSE,"Budget2000"}</definedName>
    <definedName name="SAFS34" localSheetId="24" hidden="1">{"FirstQ",#N/A,FALSE,"Budget2000";"SecondQ",#N/A,FALSE,"Budget2000"}</definedName>
    <definedName name="SAFS34" localSheetId="0" hidden="1">{"FirstQ",#N/A,FALSE,"Budget2000";"SecondQ",#N/A,FALSE,"Budget2000"}</definedName>
    <definedName name="SAFS34" hidden="1">{"FirstQ",#N/A,FALSE,"Budget2000";"SecondQ",#N/A,FALSE,"Budget2000"}</definedName>
    <definedName name="Sales">OFFSET([1]Dynamic!$B$2,0,0,COUNTA([1]Dynamic!$B$1:$B$65536)-1,1)</definedName>
    <definedName name="Savings2010" localSheetId="8">#REF!</definedName>
    <definedName name="Savings2010">#REF!</definedName>
    <definedName name="StateRegions">[3]NestedVlookup!$K$2:$L$52</definedName>
    <definedName name="Table">[2]TwoWayLookup!$E$2:$J$13</definedName>
    <definedName name="TUERUU456U" localSheetId="1" hidden="1">{"FirstQ",#N/A,FALSE,"Budget2000";"SecondQ",#N/A,FALSE,"Budget2000";"Summary",#N/A,FALSE,"Budget2000"}</definedName>
    <definedName name="TUERUU456U" localSheetId="3" hidden="1">{"FirstQ",#N/A,FALSE,"Budget2000";"SecondQ",#N/A,FALSE,"Budget2000";"Summary",#N/A,FALSE,"Budget2000"}</definedName>
    <definedName name="TUERUU456U" localSheetId="5" hidden="1">{"FirstQ",#N/A,FALSE,"Budget2000";"SecondQ",#N/A,FALSE,"Budget2000";"Summary",#N/A,FALSE,"Budget2000"}</definedName>
    <definedName name="TUERUU456U" localSheetId="7" hidden="1">{"FirstQ",#N/A,FALSE,"Budget2000";"SecondQ",#N/A,FALSE,"Budget2000";"Summary",#N/A,FALSE,"Budget2000"}</definedName>
    <definedName name="TUERUU456U" localSheetId="9" hidden="1">{"FirstQ",#N/A,FALSE,"Budget2000";"SecondQ",#N/A,FALSE,"Budget2000";"Summary",#N/A,FALSE,"Budget2000"}</definedName>
    <definedName name="TUERUU456U" localSheetId="11" hidden="1">{"FirstQ",#N/A,FALSE,"Budget2000";"SecondQ",#N/A,FALSE,"Budget2000";"Summary",#N/A,FALSE,"Budget2000"}</definedName>
    <definedName name="TUERUU456U" localSheetId="13" hidden="1">{"FirstQ",#N/A,FALSE,"Budget2000";"SecondQ",#N/A,FALSE,"Budget2000";"Summary",#N/A,FALSE,"Budget2000"}</definedName>
    <definedName name="TUERUU456U" localSheetId="15" hidden="1">{"FirstQ",#N/A,FALSE,"Budget2000";"SecondQ",#N/A,FALSE,"Budget2000";"Summary",#N/A,FALSE,"Budget2000"}</definedName>
    <definedName name="TUERUU456U" localSheetId="17" hidden="1">{"FirstQ",#N/A,FALSE,"Budget2000";"SecondQ",#N/A,FALSE,"Budget2000";"Summary",#N/A,FALSE,"Budget2000"}</definedName>
    <definedName name="TUERUU456U" localSheetId="19" hidden="1">{"FirstQ",#N/A,FALSE,"Budget2000";"SecondQ",#N/A,FALSE,"Budget2000";"Summary",#N/A,FALSE,"Budget2000"}</definedName>
    <definedName name="TUERUU456U" localSheetId="21" hidden="1">{"FirstQ",#N/A,FALSE,"Budget2000";"SecondQ",#N/A,FALSE,"Budget2000";"Summary",#N/A,FALSE,"Budget2000"}</definedName>
    <definedName name="TUERUU456U" localSheetId="23" hidden="1">{"FirstQ",#N/A,FALSE,"Budget2000";"SecondQ",#N/A,FALSE,"Budget2000";"Summary",#N/A,FALSE,"Budget2000"}</definedName>
    <definedName name="TUERUU456U" localSheetId="24" hidden="1">{"FirstQ",#N/A,FALSE,"Budget2000";"SecondQ",#N/A,FALSE,"Budget2000";"Summary",#N/A,FALSE,"Budget2000"}</definedName>
    <definedName name="TUERUU456U" localSheetId="0" hidden="1">{"FirstQ",#N/A,FALSE,"Budget2000";"SecondQ",#N/A,FALSE,"Budget2000";"Summary",#N/A,FALSE,"Budget2000"}</definedName>
    <definedName name="TUERUU456U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7" hidden="1">{"FirstQ",#N/A,FALSE,"Budget2000";"SecondQ",#N/A,FALSE,"Budget2000";"Summary",#N/A,FALSE,"Budget2000"}</definedName>
    <definedName name="wrn.AllData." localSheetId="9" hidden="1">{"FirstQ",#N/A,FALSE,"Budget2000";"SecondQ",#N/A,FALSE,"Budget2000";"Summary",#N/A,FALSE,"Budget2000"}</definedName>
    <definedName name="wrn.AllData." localSheetId="11" hidden="1">{"FirstQ",#N/A,FALSE,"Budget2000";"SecondQ",#N/A,FALSE,"Budget2000";"Summary",#N/A,FALSE,"Budget2000"}</definedName>
    <definedName name="wrn.AllData." localSheetId="13" hidden="1">{"FirstQ",#N/A,FALSE,"Budget2000";"SecondQ",#N/A,FALSE,"Budget2000";"Summary",#N/A,FALSE,"Budget2000"}</definedName>
    <definedName name="wrn.AllData." localSheetId="15" hidden="1">{"FirstQ",#N/A,FALSE,"Budget2000";"SecondQ",#N/A,FALSE,"Budget2000";"Summary",#N/A,FALSE,"Budget2000"}</definedName>
    <definedName name="wrn.AllData." localSheetId="17" hidden="1">{"FirstQ",#N/A,FALSE,"Budget2000";"SecondQ",#N/A,FALSE,"Budget2000";"Summary",#N/A,FALSE,"Budget2000"}</definedName>
    <definedName name="wrn.AllData." localSheetId="19" hidden="1">{"FirstQ",#N/A,FALSE,"Budget2000";"SecondQ",#N/A,FALSE,"Budget2000";"Summary",#N/A,FALSE,"Budget2000"}</definedName>
    <definedName name="wrn.AllData." localSheetId="21" hidden="1">{"FirstQ",#N/A,FALSE,"Budget2000";"SecondQ",#N/A,FALSE,"Budget2000";"Summary",#N/A,FALSE,"Budget2000"}</definedName>
    <definedName name="wrn.AllData." localSheetId="23" hidden="1">{"FirstQ",#N/A,FALSE,"Budget2000";"SecondQ",#N/A,FALSE,"Budget2000";"Summary",#N/A,FALSE,"Budget2000"}</definedName>
    <definedName name="wrn.AllData." localSheetId="24" hidden="1">{"FirstQ",#N/A,FALSE,"Budget2000";"SecondQ",#N/A,FALSE,"Budget2000";"Summary",#N/A,FALSE,"Budget2000"}</definedName>
    <definedName name="wrn.AllData." localSheetId="0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7" hidden="1">{"FirstQ",#N/A,FALSE,"Budget2000";"SecondQ",#N/A,FALSE,"Budget2000"}</definedName>
    <definedName name="wrn.FirstHalf." localSheetId="9" hidden="1">{"FirstQ",#N/A,FALSE,"Budget2000";"SecondQ",#N/A,FALSE,"Budget2000"}</definedName>
    <definedName name="wrn.FirstHalf." localSheetId="11" hidden="1">{"FirstQ",#N/A,FALSE,"Budget2000";"SecondQ",#N/A,FALSE,"Budget2000"}</definedName>
    <definedName name="wrn.FirstHalf." localSheetId="13" hidden="1">{"FirstQ",#N/A,FALSE,"Budget2000";"SecondQ",#N/A,FALSE,"Budget2000"}</definedName>
    <definedName name="wrn.FirstHalf." localSheetId="15" hidden="1">{"FirstQ",#N/A,FALSE,"Budget2000";"SecondQ",#N/A,FALSE,"Budget2000"}</definedName>
    <definedName name="wrn.FirstHalf." localSheetId="17" hidden="1">{"FirstQ",#N/A,FALSE,"Budget2000";"SecondQ",#N/A,FALSE,"Budget2000"}</definedName>
    <definedName name="wrn.FirstHalf." localSheetId="19" hidden="1">{"FirstQ",#N/A,FALSE,"Budget2000";"SecondQ",#N/A,FALSE,"Budget2000"}</definedName>
    <definedName name="wrn.FirstHalf." localSheetId="21" hidden="1">{"FirstQ",#N/A,FALSE,"Budget2000";"SecondQ",#N/A,FALSE,"Budget2000"}</definedName>
    <definedName name="wrn.FirstHalf." localSheetId="23" hidden="1">{"FirstQ",#N/A,FALSE,"Budget2000";"SecondQ",#N/A,FALSE,"Budget2000"}</definedName>
    <definedName name="wrn.FirstHalf." localSheetId="24" hidden="1">{"FirstQ",#N/A,FALSE,"Budget2000";"SecondQ",#N/A,FALSE,"Budget2000"}</definedName>
    <definedName name="wrn.FirstHalf." localSheetId="0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7" hidden="1">{"FirstQ",#N/A,FALSE,"Budget2000";"SecondQ",#N/A,FALSE,"Budget2000";"Summary",#N/A,FALSE,"Budget2000"}</definedName>
    <definedName name="x" localSheetId="9" hidden="1">{"FirstQ",#N/A,FALSE,"Budget2000";"SecondQ",#N/A,FALSE,"Budget2000";"Summary",#N/A,FALSE,"Budget2000"}</definedName>
    <definedName name="x" localSheetId="11" hidden="1">{"FirstQ",#N/A,FALSE,"Budget2000";"SecondQ",#N/A,FALSE,"Budget2000";"Summary",#N/A,FALSE,"Budget2000"}</definedName>
    <definedName name="x" localSheetId="13" hidden="1">{"FirstQ",#N/A,FALSE,"Budget2000";"SecondQ",#N/A,FALSE,"Budget2000";"Summary",#N/A,FALSE,"Budget2000"}</definedName>
    <definedName name="x" localSheetId="15" hidden="1">{"FirstQ",#N/A,FALSE,"Budget2000";"SecondQ",#N/A,FALSE,"Budget2000";"Summary",#N/A,FALSE,"Budget2000"}</definedName>
    <definedName name="x" localSheetId="17" hidden="1">{"FirstQ",#N/A,FALSE,"Budget2000";"SecondQ",#N/A,FALSE,"Budget2000";"Summary",#N/A,FALSE,"Budget2000"}</definedName>
    <definedName name="x" localSheetId="19" hidden="1">{"FirstQ",#N/A,FALSE,"Budget2000";"SecondQ",#N/A,FALSE,"Budget2000";"Summary",#N/A,FALSE,"Budget2000"}</definedName>
    <definedName name="x" localSheetId="21" hidden="1">{"FirstQ",#N/A,FALSE,"Budget2000";"SecondQ",#N/A,FALSE,"Budget2000";"Summary",#N/A,FALSE,"Budget2000"}</definedName>
    <definedName name="x" localSheetId="23" hidden="1">{"FirstQ",#N/A,FALSE,"Budget2000";"SecondQ",#N/A,FALSE,"Budget2000";"Summary",#N/A,FALSE,"Budget2000"}</definedName>
    <definedName name="x" localSheetId="24" hidden="1">{"FirstQ",#N/A,FALSE,"Budget2000";"SecondQ",#N/A,FALSE,"Budget2000";"Summary",#N/A,FALSE,"Budget2000"}</definedName>
    <definedName name="x" localSheetId="0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7" hidden="1">{"AllDetail",#N/A,FALSE,"Research Budget";"1stQuarter",#N/A,FALSE,"Research Budget";"2nd Quarter",#N/A,FALSE,"Research Budget";"Summary",#N/A,FALSE,"Research Budget"}</definedName>
    <definedName name="xxxxxxxxxxxxxxxxxxx" localSheetId="9" hidden="1">{"AllDetail",#N/A,FALSE,"Research Budget";"1stQuarter",#N/A,FALSE,"Research Budget";"2nd Quarter",#N/A,FALSE,"Research Budget";"Summary",#N/A,FALSE,"Research Budget"}</definedName>
    <definedName name="xxxxxxxxxxxxxxxxxxx" localSheetId="11" hidden="1">{"AllDetail",#N/A,FALSE,"Research Budget";"1stQuarter",#N/A,FALSE,"Research Budget";"2nd Quarter",#N/A,FALSE,"Research Budget";"Summary",#N/A,FALSE,"Research Budget"}</definedName>
    <definedName name="xxxxxxxxxxxxxxxxxxx" localSheetId="13" hidden="1">{"AllDetail",#N/A,FALSE,"Research Budget";"1stQuarter",#N/A,FALSE,"Research Budget";"2nd Quarter",#N/A,FALSE,"Research Budget";"Summary",#N/A,FALSE,"Research Budget"}</definedName>
    <definedName name="xxxxxxxxxxxxxxxxxxx" localSheetId="15" hidden="1">{"AllDetail",#N/A,FALSE,"Research Budget";"1stQuarter",#N/A,FALSE,"Research Budget";"2nd Quarter",#N/A,FALSE,"Research Budget";"Summary",#N/A,FALSE,"Research Budget"}</definedName>
    <definedName name="xxxxxxxxxxxxxxxxxxx" localSheetId="17" hidden="1">{"AllDetail",#N/A,FALSE,"Research Budget";"1stQuarter",#N/A,FALSE,"Research Budget";"2nd Quarter",#N/A,FALSE,"Research Budget";"Summary",#N/A,FALSE,"Research Budget"}</definedName>
    <definedName name="xxxxxxxxxxxxxxxxxxx" localSheetId="19" hidden="1">{"AllDetail",#N/A,FALSE,"Research Budget";"1stQuarter",#N/A,FALSE,"Research Budget";"2nd Quarter",#N/A,FALSE,"Research Budget";"Summary",#N/A,FALSE,"Research Budget"}</definedName>
    <definedName name="xxxxxxxxxxxxxxxxxxx" localSheetId="21" hidden="1">{"AllDetail",#N/A,FALSE,"Research Budget";"1stQuarter",#N/A,FALSE,"Research Budget";"2nd Quarter",#N/A,FALSE,"Research Budget";"Summary",#N/A,FALSE,"Research Budget"}</definedName>
    <definedName name="xxxxxxxxxxxxxxxxxxx" localSheetId="23" hidden="1">{"AllDetail",#N/A,FALSE,"Research Budget";"1stQuarter",#N/A,FALSE,"Research Budget";"2nd Quarter",#N/A,FALSE,"Research Budget";"Summary",#N/A,FALSE,"Research Budget"}</definedName>
    <definedName name="xxxxxxxxxxxxxxxxxxx" localSheetId="24" hidden="1">{"AllDetail",#N/A,FALSE,"Research Budget";"1stQuarter",#N/A,FALSE,"Research Budget";"2nd Quarter",#N/A,FALSE,"Research Budget";"Summary",#N/A,FALSE,"Research Budget"}</definedName>
    <definedName name="xxxxxxxxxxxxxxxxxxx" localSheetId="0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84" l="1"/>
  <c r="G3" i="84"/>
  <c r="J4" i="71"/>
  <c r="J3" i="71"/>
  <c r="J7" i="85"/>
  <c r="J6" i="85"/>
  <c r="J5" i="85"/>
  <c r="J4" i="85"/>
  <c r="J3" i="85"/>
  <c r="G5" i="67"/>
  <c r="C3" i="61"/>
  <c r="C4" i="61"/>
  <c r="C5" i="61"/>
  <c r="C6" i="61"/>
  <c r="C7" i="61"/>
  <c r="C2" i="61"/>
  <c r="B3" i="60"/>
  <c r="B4" i="60"/>
  <c r="B5" i="60"/>
  <c r="B6" i="60"/>
  <c r="B2" i="60"/>
  <c r="D3" i="59"/>
  <c r="D4" i="59"/>
  <c r="D5" i="59"/>
  <c r="D6" i="59"/>
  <c r="D7" i="59"/>
  <c r="D8" i="59"/>
  <c r="D9" i="59"/>
  <c r="D2" i="59"/>
  <c r="F10" i="67"/>
  <c r="G10" i="67" s="1"/>
  <c r="F9" i="67"/>
  <c r="G9" i="67" s="1"/>
  <c r="F8" i="67"/>
  <c r="G8" i="67" s="1"/>
  <c r="F7" i="67"/>
  <c r="G7" i="67" s="1"/>
  <c r="F6" i="67"/>
  <c r="G6" i="67" s="1"/>
  <c r="F4" i="67"/>
  <c r="G4" i="67" s="1"/>
  <c r="F3" i="67"/>
  <c r="G3" i="67" s="1"/>
  <c r="F2" i="67"/>
  <c r="G2" i="67" s="1"/>
</calcChain>
</file>

<file path=xl/sharedStrings.xml><?xml version="1.0" encoding="utf-8"?>
<sst xmlns="http://schemas.openxmlformats.org/spreadsheetml/2006/main" count="271" uniqueCount="121">
  <si>
    <t>VLOOKUP FUNCTION</t>
  </si>
  <si>
    <t xml:space="preserve">
</t>
  </si>
  <si>
    <t xml:space="preserve">
</t>
  </si>
  <si>
    <t xml:space="preserve">
#VLOOKUP is an Excel function to lookup and retrieve data from a specific column in table. VLOOKUP supports approximate and exact matching.
</t>
  </si>
  <si>
    <t>NAME</t>
  </si>
  <si>
    <t>NO</t>
  </si>
  <si>
    <t>GENTER</t>
  </si>
  <si>
    <t>ROLL NO</t>
  </si>
  <si>
    <t>MARK-1</t>
  </si>
  <si>
    <t>MARK-2</t>
  </si>
  <si>
    <t>MARK-3</t>
  </si>
  <si>
    <t>ASKER</t>
  </si>
  <si>
    <t>MALE</t>
  </si>
  <si>
    <t>M0001</t>
  </si>
  <si>
    <t>AFRATH</t>
  </si>
  <si>
    <t>M0002</t>
  </si>
  <si>
    <t>NISAR</t>
  </si>
  <si>
    <t>M0003</t>
  </si>
  <si>
    <t>AMJATH</t>
  </si>
  <si>
    <t>M0004</t>
  </si>
  <si>
    <t>RAMU</t>
  </si>
  <si>
    <t>FEMALE</t>
  </si>
  <si>
    <t>AJESH</t>
  </si>
  <si>
    <t>NOUFAL</t>
  </si>
  <si>
    <t>ANVER</t>
  </si>
  <si>
    <t>BALU</t>
  </si>
  <si>
    <t>KARTHIK</t>
  </si>
  <si>
    <t>Sales Rep</t>
  </si>
  <si>
    <t>Qtr. 1</t>
  </si>
  <si>
    <t>Qtr. 2</t>
  </si>
  <si>
    <t>Qtr. 3</t>
  </si>
  <si>
    <t>Qtr. 4</t>
  </si>
  <si>
    <t xml:space="preserve">INCREMENT ELIGIBILITY </t>
  </si>
  <si>
    <t>Aananth</t>
  </si>
  <si>
    <t>Sanker</t>
  </si>
  <si>
    <t>Sara</t>
  </si>
  <si>
    <t>Asver</t>
  </si>
  <si>
    <t>Rifan</t>
  </si>
  <si>
    <t>Aslath</t>
  </si>
  <si>
    <t>Mohamed</t>
  </si>
  <si>
    <t>Anver</t>
  </si>
  <si>
    <t>Asker</t>
  </si>
  <si>
    <t>Last Name</t>
  </si>
  <si>
    <t xml:space="preserve">UPPER FUNCTION
</t>
  </si>
  <si>
    <t>Sanfer</t>
  </si>
  <si>
    <t>Amjath</t>
  </si>
  <si>
    <t>Rinaas</t>
  </si>
  <si>
    <t>Rifnas</t>
  </si>
  <si>
    <t>Exact</t>
  </si>
  <si>
    <t xml:space="preserve">
#The Microsoft Excel UPPER function allows you to convert text to all uppercase.The UPPER function is a built-in function in Excel that is categorized as a String/Text Function. 
</t>
  </si>
  <si>
    <t># The IF function can perform a logical test and return one value for a TRUE result, and another for a FALSE result.  </t>
  </si>
  <si>
    <t># The Excel AND function is a logical function used to require more than one condition at the same time. AND returns either TRUE or FALSE.</t>
  </si>
  <si>
    <t>EMPLOYEE'S NAME</t>
  </si>
  <si>
    <t>TOTAL</t>
  </si>
  <si>
    <t xml:space="preserve">INCREMENT OPTION </t>
  </si>
  <si>
    <t># This function use for test a numerical values,if the function returns True, it means the cell contain numbers at the same time if it return false,the cell not contain the number.</t>
  </si>
  <si>
    <t># This function use for test a text values,if the function returns True, it means the cell contain text value at the same time if it return false,the cell not contain the text.</t>
  </si>
  <si>
    <t xml:space="preserve"># Macros record is a small programs that record your actions as you perform a task in Excel then it saved as a Visual Basic Module in the Excel workbook. if you perform a work frequently in Microsoft Excel ,it very useful for you. </t>
  </si>
  <si>
    <t>01 VLOOKUP</t>
  </si>
  <si>
    <t>02 AND</t>
  </si>
  <si>
    <t>03 UPPER</t>
  </si>
  <si>
    <t>04 EXACT</t>
  </si>
  <si>
    <t>05 IF</t>
  </si>
  <si>
    <t>06 DATA VALIDATION</t>
  </si>
  <si>
    <t xml:space="preserve">07 ISNUMBER
</t>
  </si>
  <si>
    <t xml:space="preserve">08 ISTEXT
</t>
  </si>
  <si>
    <t xml:space="preserve">09 MACRO RECORD </t>
  </si>
  <si>
    <t># IERROR Function Return a Cutom Result when a Function Getting Error.</t>
  </si>
  <si>
    <t>10 IFERROR</t>
  </si>
  <si>
    <t># The Excel LEN function returns the length of a characters.</t>
  </si>
  <si>
    <t>11 LEN</t>
  </si>
  <si>
    <t xml:space="preserve">Sales Rep ID </t>
  </si>
  <si>
    <t>Sales Rep ID</t>
  </si>
  <si>
    <t>Sales Rep Name</t>
  </si>
  <si>
    <t xml:space="preserve">Sales Rep Name </t>
  </si>
  <si>
    <t xml:space="preserve"># The Excel EXACT function compares two text strings, it returns TRUE if they are the same, and FALSE if not. EXACT is case-sensitive. 
</t>
  </si>
  <si>
    <t>SANFER</t>
  </si>
  <si>
    <t>RINAAS</t>
  </si>
  <si>
    <t>12 COUNTIF</t>
  </si>
  <si>
    <t># The Excel COUNTIF function Is count the number of cells that meet a single condition. </t>
  </si>
  <si>
    <t>S.N</t>
  </si>
  <si>
    <t>GENDER</t>
  </si>
  <si>
    <t>AGE</t>
  </si>
  <si>
    <t>HAFILA</t>
  </si>
  <si>
    <t>DETAILS NEEDED</t>
  </si>
  <si>
    <t>SANFARA</t>
  </si>
  <si>
    <t>AKASH</t>
  </si>
  <si>
    <t>SUJATH</t>
  </si>
  <si>
    <t>IZZATH</t>
  </si>
  <si>
    <t>ALI</t>
  </si>
  <si>
    <t>SATHIRA</t>
  </si>
  <si>
    <t>UMAR</t>
  </si>
  <si>
    <t>AKMAL</t>
  </si>
  <si>
    <t>ARSATH</t>
  </si>
  <si>
    <t>COUNTIF</t>
  </si>
  <si>
    <t>TOTAL NO MALE EMPLOYEES</t>
  </si>
  <si>
    <t>ADVANCED DATA ENTRY RELATED MICROSOFT EXCEL FUNCTION</t>
  </si>
  <si>
    <t xml:space="preserve">
#We are going to use 12 excel functions to create Advanced Data entry Application in Microsoft Excel those are as belows.
</t>
  </si>
  <si>
    <t xml:space="preserve"> </t>
  </si>
  <si>
    <t>02 AND FUNCTION</t>
  </si>
  <si>
    <t>03 UPPER FUNCTION</t>
  </si>
  <si>
    <t>04 EXACT FUNCTION</t>
  </si>
  <si>
    <t>05 IF FUNCTION</t>
  </si>
  <si>
    <t>06 DATA VALIDATION FUNCTION</t>
  </si>
  <si>
    <t>07 ISNUMBER FUNCTION</t>
  </si>
  <si>
    <t>08 ISTEXT FUNCTION</t>
  </si>
  <si>
    <t>09 MACRO RECORD FUNCTION</t>
  </si>
  <si>
    <t>10 IFERROR FUNCTION</t>
  </si>
  <si>
    <t>11 LEN FUNCTION</t>
  </si>
  <si>
    <t>12 COUNTIF FUNCTION</t>
  </si>
  <si>
    <t># Data validation is a feature in Excel used to control what a user can enter into a cell.</t>
  </si>
  <si>
    <t>mark4</t>
  </si>
  <si>
    <t xml:space="preserve">last name </t>
  </si>
  <si>
    <t>mubeen</t>
  </si>
  <si>
    <t>asker</t>
  </si>
  <si>
    <t>am</t>
  </si>
  <si>
    <t>TOTAL NO FEMALE EMPLOYEES</t>
  </si>
  <si>
    <t>0 for exact match.</t>
  </si>
  <si>
    <t>ELIGIBLE IF VALUES IN BOTH QUARTER &gt; 40000.</t>
  </si>
  <si>
    <t>ELIGIBLE WHEN TOTAL SALES &gt; 160000.</t>
  </si>
  <si>
    <t>GO TO DATA VALIDATION IN DATA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</si>
</sst>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8"/>
      <color theme="1"/>
      <name val="Century Gothic"/>
      <family val="2"/>
    </font>
    <font>
      <b/>
      <u/>
      <sz val="20"/>
      <color theme="1"/>
      <name val="Century Gothic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sz val="18"/>
      <color theme="1"/>
      <name val="Century Gothic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4" fillId="0" borderId="0"/>
    <xf numFmtId="0" fontId="5" fillId="0" borderId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/>
    <xf numFmtId="49" fontId="0" fillId="0" borderId="0" xfId="0" applyNumberFormat="1"/>
    <xf numFmtId="0" fontId="10" fillId="0" borderId="1" xfId="0" applyFont="1" applyBorder="1"/>
    <xf numFmtId="166" fontId="10" fillId="0" borderId="1" xfId="9" applyNumberFormat="1" applyFont="1" applyBorder="1"/>
    <xf numFmtId="0" fontId="7" fillId="6" borderId="1" xfId="0" applyFont="1" applyFill="1" applyBorder="1" applyAlignment="1">
      <alignment horizontal="center"/>
    </xf>
    <xf numFmtId="0" fontId="0" fillId="7" borderId="1" xfId="0" applyFill="1" applyBorder="1"/>
    <xf numFmtId="0" fontId="9" fillId="3" borderId="1" xfId="0" applyFont="1" applyFill="1" applyBorder="1"/>
    <xf numFmtId="0" fontId="0" fillId="2" borderId="1" xfId="0" applyFill="1" applyBorder="1"/>
    <xf numFmtId="0" fontId="7" fillId="5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9" fillId="0" borderId="1" xfId="0" applyFont="1" applyBorder="1"/>
    <xf numFmtId="166" fontId="0" fillId="3" borderId="1" xfId="0" applyNumberFormat="1" applyFill="1" applyBorder="1"/>
    <xf numFmtId="0" fontId="0" fillId="8" borderId="0" xfId="0" applyFill="1"/>
    <xf numFmtId="0" fontId="0" fillId="4" borderId="0" xfId="0" applyFill="1"/>
    <xf numFmtId="0" fontId="7" fillId="3" borderId="1" xfId="0" applyFont="1" applyFill="1" applyBorder="1"/>
    <xf numFmtId="0" fontId="0" fillId="0" borderId="1" xfId="0" applyBorder="1"/>
    <xf numFmtId="0" fontId="7" fillId="6" borderId="1" xfId="0" applyFont="1" applyFill="1" applyBorder="1"/>
    <xf numFmtId="0" fontId="0" fillId="0" borderId="1" xfId="0" applyFill="1" applyBorder="1"/>
    <xf numFmtId="0" fontId="7" fillId="9" borderId="1" xfId="0" applyFont="1" applyFill="1" applyBorder="1"/>
    <xf numFmtId="0" fontId="8" fillId="9" borderId="1" xfId="0" applyFont="1" applyFill="1" applyBorder="1" applyAlignment="1">
      <alignment horizontal="center"/>
    </xf>
    <xf numFmtId="0" fontId="8" fillId="9" borderId="1" xfId="0" applyFont="1" applyFill="1" applyBorder="1"/>
    <xf numFmtId="49" fontId="8" fillId="9" borderId="1" xfId="0" applyNumberFormat="1" applyFont="1" applyFill="1" applyBorder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Fill="1" applyBorder="1"/>
    <xf numFmtId="0" fontId="8" fillId="9" borderId="2" xfId="0" applyFont="1" applyFill="1" applyBorder="1"/>
    <xf numFmtId="0" fontId="0" fillId="0" borderId="2" xfId="0" applyFill="1" applyBorder="1"/>
    <xf numFmtId="0" fontId="8" fillId="9" borderId="3" xfId="0" applyFont="1" applyFill="1" applyBorder="1" applyAlignment="1">
      <alignment horizontal="center"/>
    </xf>
    <xf numFmtId="0" fontId="8" fillId="9" borderId="3" xfId="0" applyFont="1" applyFill="1" applyBorder="1"/>
    <xf numFmtId="0" fontId="7" fillId="3" borderId="0" xfId="0" applyFont="1" applyFill="1" applyBorder="1"/>
    <xf numFmtId="0" fontId="10" fillId="0" borderId="0" xfId="0" applyFont="1" applyFill="1" applyBorder="1"/>
    <xf numFmtId="0" fontId="6" fillId="8" borderId="0" xfId="0" applyFont="1" applyFill="1" applyAlignment="1">
      <alignment horizontal="left" vertical="top" wrapText="1"/>
    </xf>
    <xf numFmtId="0" fontId="2" fillId="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left" wrapText="1"/>
    </xf>
    <xf numFmtId="0" fontId="1" fillId="8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right"/>
    </xf>
    <xf numFmtId="0" fontId="9" fillId="8" borderId="1" xfId="0" applyFont="1" applyFill="1" applyBorder="1" applyAlignment="1">
      <alignment horizontal="right"/>
    </xf>
  </cellXfs>
  <cellStyles count="10">
    <cellStyle name="Comma" xfId="9" builtinId="3"/>
    <cellStyle name="Comma 2" xfId="3" xr:uid="{00000000-0005-0000-0000-000000000000}"/>
    <cellStyle name="Comma 3" xfId="4" xr:uid="{00000000-0005-0000-0000-000001000000}"/>
    <cellStyle name="Comma 3 2" xfId="8" xr:uid="{00000000-0005-0000-0000-000002000000}"/>
    <cellStyle name="Currency 2" xfId="5" xr:uid="{00000000-0005-0000-0000-000003000000}"/>
    <cellStyle name="Currency 2 2" xfId="6" xr:uid="{00000000-0005-0000-0000-000004000000}"/>
    <cellStyle name="Normal" xfId="0" builtinId="0"/>
    <cellStyle name="Normal 2" xfId="1" xr:uid="{00000000-0005-0000-0000-000007000000}"/>
    <cellStyle name="Normal 3" xfId="2" xr:uid="{00000000-0005-0000-0000-000008000000}"/>
    <cellStyle name="Normal 4" xfId="7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</xdr:row>
      <xdr:rowOff>190500</xdr:rowOff>
    </xdr:from>
    <xdr:to>
      <xdr:col>9</xdr:col>
      <xdr:colOff>47625</xdr:colOff>
      <xdr:row>5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8575" y="1695450"/>
          <a:ext cx="5562600" cy="7239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US" sz="1800" b="1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800" b="1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=VLOOKUP (value, table, col_index, [range_lookup])</a:t>
          </a:r>
          <a:endParaRPr lang="en-US" sz="1800" b="1" kern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</xdr:row>
      <xdr:rowOff>190500</xdr:rowOff>
    </xdr:from>
    <xdr:to>
      <xdr:col>6</xdr:col>
      <xdr:colOff>1</xdr:colOff>
      <xdr:row>4</xdr:row>
      <xdr:rowOff>171450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E144DF24-44B4-4412-BC54-9DA71993E4D3}"/>
            </a:ext>
          </a:extLst>
        </xdr:cNvPr>
        <xdr:cNvSpPr/>
      </xdr:nvSpPr>
      <xdr:spPr>
        <a:xfrm>
          <a:off x="28575" y="1695450"/>
          <a:ext cx="3629026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GB" sz="1800" b="1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=AND (logical1, [logical2], ...)</a:t>
          </a:r>
          <a:endParaRPr lang="en-US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</xdr:row>
      <xdr:rowOff>190500</xdr:rowOff>
    </xdr:from>
    <xdr:to>
      <xdr:col>6</xdr:col>
      <xdr:colOff>314325</xdr:colOff>
      <xdr:row>4</xdr:row>
      <xdr:rowOff>171450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15E3C75C-DD24-4CC5-8F15-5B5936D20E29}"/>
            </a:ext>
          </a:extLst>
        </xdr:cNvPr>
        <xdr:cNvSpPr/>
      </xdr:nvSpPr>
      <xdr:spPr>
        <a:xfrm>
          <a:off x="28575" y="1695450"/>
          <a:ext cx="3943350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=UPPER (text)</a:t>
          </a:r>
          <a:endParaRPr lang="en-US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</xdr:row>
      <xdr:rowOff>190500</xdr:rowOff>
    </xdr:from>
    <xdr:to>
      <xdr:col>6</xdr:col>
      <xdr:colOff>314325</xdr:colOff>
      <xdr:row>4</xdr:row>
      <xdr:rowOff>171450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B9612D96-464B-4328-B78C-FF737815F024}"/>
            </a:ext>
          </a:extLst>
        </xdr:cNvPr>
        <xdr:cNvSpPr/>
      </xdr:nvSpPr>
      <xdr:spPr>
        <a:xfrm>
          <a:off x="28575" y="1695450"/>
          <a:ext cx="3943350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GB" sz="1800" b="1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=EXACT (text1, text2)</a:t>
          </a:r>
          <a:endParaRPr lang="en-US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2</xdr:row>
      <xdr:rowOff>190500</xdr:rowOff>
    </xdr:from>
    <xdr:to>
      <xdr:col>8</xdr:col>
      <xdr:colOff>171449</xdr:colOff>
      <xdr:row>4</xdr:row>
      <xdr:rowOff>171450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E7CB181F-AE64-4AF2-9F6F-BB2BA2355744}"/>
            </a:ext>
          </a:extLst>
        </xdr:cNvPr>
        <xdr:cNvSpPr/>
      </xdr:nvSpPr>
      <xdr:spPr>
        <a:xfrm>
          <a:off x="28574" y="1695450"/>
          <a:ext cx="501967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GB" sz="1800" b="1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=IF (logical_test, [value_if_true], [value_if_false])</a:t>
          </a:r>
          <a:endParaRPr lang="en-US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2</xdr:row>
      <xdr:rowOff>190500</xdr:rowOff>
    </xdr:from>
    <xdr:to>
      <xdr:col>8</xdr:col>
      <xdr:colOff>171449</xdr:colOff>
      <xdr:row>4</xdr:row>
      <xdr:rowOff>171450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9F656324-AF9F-4945-8ED0-7CA12643BEFF}"/>
            </a:ext>
          </a:extLst>
        </xdr:cNvPr>
        <xdr:cNvSpPr/>
      </xdr:nvSpPr>
      <xdr:spPr>
        <a:xfrm>
          <a:off x="28574" y="1695450"/>
          <a:ext cx="501967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US" sz="1800" b="0" i="0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=ISNUMBER (value)</a:t>
          </a:r>
          <a:endParaRPr lang="en-US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2</xdr:row>
      <xdr:rowOff>190500</xdr:rowOff>
    </xdr:from>
    <xdr:to>
      <xdr:col>8</xdr:col>
      <xdr:colOff>171449</xdr:colOff>
      <xdr:row>4</xdr:row>
      <xdr:rowOff>171450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A609FED1-F384-446D-949A-9BFC4A0D7201}"/>
            </a:ext>
          </a:extLst>
        </xdr:cNvPr>
        <xdr:cNvSpPr/>
      </xdr:nvSpPr>
      <xdr:spPr>
        <a:xfrm>
          <a:off x="28574" y="1695450"/>
          <a:ext cx="501967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US" sz="1800" b="0" i="0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=ISTEXT (value)</a:t>
          </a:r>
          <a:endParaRPr lang="en-US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142875</xdr:colOff>
      <xdr:row>3</xdr:row>
      <xdr:rowOff>285750</xdr:rowOff>
    </xdr:to>
    <xdr:sp macro="" textlink="">
      <xdr:nvSpPr>
        <xdr:cNvPr id="3" name="Rounded Rectangle 1">
          <a:extLst>
            <a:ext uri="{FF2B5EF4-FFF2-40B4-BE49-F238E27FC236}">
              <a16:creationId xmlns:a16="http://schemas.microsoft.com/office/drawing/2014/main" id="{5FCCF16C-F4AE-41CD-ABA2-3E34E982CD2D}"/>
            </a:ext>
          </a:extLst>
        </xdr:cNvPr>
        <xdr:cNvSpPr/>
      </xdr:nvSpPr>
      <xdr:spPr>
        <a:xfrm>
          <a:off x="0" y="1304925"/>
          <a:ext cx="501967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US" sz="1800" b="0" i="0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=IFERROR (value,value_if_error)</a:t>
          </a:r>
          <a:endParaRPr lang="en-US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142875</xdr:colOff>
      <xdr:row>3</xdr:row>
      <xdr:rowOff>285750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91610DFE-D2C3-4B91-9CFA-70ACA711B199}"/>
            </a:ext>
          </a:extLst>
        </xdr:cNvPr>
        <xdr:cNvSpPr/>
      </xdr:nvSpPr>
      <xdr:spPr>
        <a:xfrm>
          <a:off x="0" y="1000125"/>
          <a:ext cx="501967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US" sz="1800" b="0" i="0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=LEN (text)</a:t>
          </a:r>
          <a:endParaRPr lang="en-US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142875</xdr:colOff>
      <xdr:row>3</xdr:row>
      <xdr:rowOff>285750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E99E53E7-CD7C-4C4B-B06F-9C10D467A1F1}"/>
            </a:ext>
          </a:extLst>
        </xdr:cNvPr>
        <xdr:cNvSpPr/>
      </xdr:nvSpPr>
      <xdr:spPr>
        <a:xfrm>
          <a:off x="0" y="1000125"/>
          <a:ext cx="501967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 eaLnBrk="1" latinLnBrk="0" hangingPunct="1"/>
          <a:r>
            <a:rPr lang="en-US" sz="1800" b="0" i="0" kern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=COUNTIF(range,criteria)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xcelClassFiles\Chartdat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__Raytheon\FormulasFunctions\FunctionsFil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yndaCom\AdvancedFunctionsWork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Dates</v>
          </cell>
          <cell r="B1" t="str">
            <v>Sales</v>
          </cell>
        </row>
        <row r="2">
          <cell r="A2">
            <v>38718</v>
          </cell>
          <cell r="B2">
            <v>1592398</v>
          </cell>
        </row>
        <row r="3">
          <cell r="A3">
            <v>38749</v>
          </cell>
          <cell r="B3">
            <v>1597197</v>
          </cell>
        </row>
        <row r="4">
          <cell r="A4">
            <v>38777</v>
          </cell>
          <cell r="B4">
            <v>1666080</v>
          </cell>
        </row>
        <row r="5">
          <cell r="A5">
            <v>38808</v>
          </cell>
          <cell r="B5">
            <v>2484340</v>
          </cell>
        </row>
      </sheetData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R List"/>
      <sheetName val="Mixed References"/>
      <sheetName val="IndexMatch"/>
      <sheetName val="MasterSSList"/>
      <sheetName val="FilmPrice"/>
      <sheetName val="Autofill"/>
      <sheetName val="Profits"/>
      <sheetName val="CitySales"/>
      <sheetName val="FindFormulas"/>
      <sheetName val="Arrays"/>
      <sheetName val="ProjBudget2010"/>
      <sheetName val="SalesByCategory"/>
      <sheetName val="Dates and Times"/>
      <sheetName val="TextProblems"/>
      <sheetName val="Rounding"/>
      <sheetName val="AutoSum"/>
      <sheetName val="ArrayFormulas"/>
      <sheetName val="Lookups"/>
      <sheetName val="TwoWayLookup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E1" t="str">
            <v>Disk Drives</v>
          </cell>
          <cell r="F1" t="str">
            <v>CD Drives</v>
          </cell>
          <cell r="G1" t="str">
            <v>DVD Drives</v>
          </cell>
          <cell r="H1" t="str">
            <v>ZIP Drives</v>
          </cell>
          <cell r="I1" t="str">
            <v>Flash Drives</v>
          </cell>
          <cell r="J1" t="str">
            <v>Combined</v>
          </cell>
        </row>
        <row r="2">
          <cell r="D2" t="str">
            <v>January</v>
          </cell>
          <cell r="E2">
            <v>5760</v>
          </cell>
          <cell r="F2">
            <v>3740</v>
          </cell>
          <cell r="G2">
            <v>5029</v>
          </cell>
          <cell r="H2">
            <v>1563</v>
          </cell>
          <cell r="I2">
            <v>4718</v>
          </cell>
          <cell r="J2">
            <v>20810</v>
          </cell>
        </row>
        <row r="3">
          <cell r="D3" t="str">
            <v>February</v>
          </cell>
          <cell r="E3">
            <v>6739</v>
          </cell>
          <cell r="F3">
            <v>2739</v>
          </cell>
          <cell r="G3">
            <v>4993</v>
          </cell>
          <cell r="H3">
            <v>1275</v>
          </cell>
          <cell r="I3">
            <v>2615</v>
          </cell>
          <cell r="J3">
            <v>18361</v>
          </cell>
        </row>
        <row r="4">
          <cell r="D4" t="str">
            <v>March</v>
          </cell>
          <cell r="E4">
            <v>6338</v>
          </cell>
          <cell r="F4">
            <v>3358</v>
          </cell>
          <cell r="G4">
            <v>4265</v>
          </cell>
          <cell r="H4">
            <v>1253</v>
          </cell>
          <cell r="I4">
            <v>5312</v>
          </cell>
          <cell r="J4">
            <v>20526</v>
          </cell>
        </row>
        <row r="5">
          <cell r="D5" t="str">
            <v>April</v>
          </cell>
          <cell r="E5">
            <v>5013</v>
          </cell>
          <cell r="F5">
            <v>4866</v>
          </cell>
          <cell r="G5">
            <v>4565</v>
          </cell>
          <cell r="H5">
            <v>1289</v>
          </cell>
          <cell r="I5">
            <v>1108</v>
          </cell>
          <cell r="J5">
            <v>16841</v>
          </cell>
        </row>
        <row r="6">
          <cell r="D6" t="str">
            <v>May</v>
          </cell>
          <cell r="E6">
            <v>6204</v>
          </cell>
          <cell r="F6">
            <v>2048</v>
          </cell>
          <cell r="G6">
            <v>4766</v>
          </cell>
          <cell r="H6">
            <v>1111</v>
          </cell>
          <cell r="I6">
            <v>1994</v>
          </cell>
          <cell r="J6">
            <v>16123</v>
          </cell>
        </row>
        <row r="7">
          <cell r="D7" t="str">
            <v>June</v>
          </cell>
          <cell r="E7">
            <v>6522</v>
          </cell>
          <cell r="F7">
            <v>2842</v>
          </cell>
          <cell r="G7">
            <v>5379</v>
          </cell>
          <cell r="H7">
            <v>1125</v>
          </cell>
          <cell r="I7">
            <v>3830</v>
          </cell>
          <cell r="J7">
            <v>19698</v>
          </cell>
        </row>
        <row r="8">
          <cell r="D8" t="str">
            <v>July</v>
          </cell>
          <cell r="E8">
            <v>6456</v>
          </cell>
          <cell r="F8">
            <v>2714</v>
          </cell>
          <cell r="G8">
            <v>4171</v>
          </cell>
          <cell r="H8">
            <v>1229</v>
          </cell>
          <cell r="I8">
            <v>3232</v>
          </cell>
          <cell r="J8">
            <v>17802</v>
          </cell>
        </row>
        <row r="9">
          <cell r="D9" t="str">
            <v>August</v>
          </cell>
          <cell r="E9">
            <v>6836</v>
          </cell>
          <cell r="F9">
            <v>2081</v>
          </cell>
          <cell r="G9">
            <v>5077</v>
          </cell>
          <cell r="H9">
            <v>1460</v>
          </cell>
          <cell r="I9">
            <v>1607</v>
          </cell>
          <cell r="J9">
            <v>17061</v>
          </cell>
        </row>
        <row r="10">
          <cell r="D10" t="str">
            <v>September</v>
          </cell>
          <cell r="E10">
            <v>5967</v>
          </cell>
          <cell r="F10">
            <v>4574</v>
          </cell>
          <cell r="G10">
            <v>4754</v>
          </cell>
          <cell r="H10">
            <v>1070</v>
          </cell>
          <cell r="I10">
            <v>1563</v>
          </cell>
          <cell r="J10">
            <v>17928</v>
          </cell>
        </row>
        <row r="11">
          <cell r="D11" t="str">
            <v>October</v>
          </cell>
          <cell r="E11">
            <v>6576</v>
          </cell>
          <cell r="F11">
            <v>4008</v>
          </cell>
          <cell r="G11">
            <v>4830</v>
          </cell>
          <cell r="H11">
            <v>1477</v>
          </cell>
          <cell r="I11">
            <v>2590</v>
          </cell>
          <cell r="J11">
            <v>19481</v>
          </cell>
        </row>
        <row r="12">
          <cell r="D12" t="str">
            <v>November</v>
          </cell>
          <cell r="E12">
            <v>6042</v>
          </cell>
          <cell r="F12">
            <v>4235</v>
          </cell>
          <cell r="G12">
            <v>4224</v>
          </cell>
          <cell r="H12">
            <v>1034</v>
          </cell>
          <cell r="I12">
            <v>3960</v>
          </cell>
          <cell r="J12">
            <v>19495</v>
          </cell>
        </row>
        <row r="13">
          <cell r="D13" t="str">
            <v>December</v>
          </cell>
          <cell r="E13">
            <v>5566</v>
          </cell>
          <cell r="F13">
            <v>3751</v>
          </cell>
          <cell r="G13">
            <v>5103</v>
          </cell>
          <cell r="H13">
            <v>1377</v>
          </cell>
          <cell r="I13">
            <v>3013</v>
          </cell>
          <cell r="J13">
            <v>18810</v>
          </cell>
        </row>
      </sheetData>
      <sheetData sheetId="19"/>
      <sheetData sheetId="20"/>
      <sheetData sheetId="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oyees"/>
      <sheetName val="MultiFieldData"/>
      <sheetName val="NestedVlookup"/>
      <sheetName val="TwoWayLookup"/>
      <sheetName val="INDEX"/>
      <sheetName val="Sheet4"/>
      <sheetName val="FilmPrice"/>
      <sheetName val="SUMIFS"/>
      <sheetName val="MasterList"/>
      <sheetName val="SS_List"/>
      <sheetName val="Arrays"/>
      <sheetName val="FindDuplicates"/>
      <sheetName val="Frequency"/>
      <sheetName val="TrendGrowth"/>
      <sheetName val="MatchIndexArrays"/>
      <sheetName val="MixedReferences"/>
      <sheetName val="Offset"/>
      <sheetName val="Lookups"/>
      <sheetName val="Hyperlinks"/>
      <sheetName val="MixedNames"/>
      <sheetName val="DataValidation"/>
      <sheetName val="MostCommonNamesInUS"/>
      <sheetName val="TaxDep"/>
      <sheetName val="FifthLineFormatting"/>
    </sheetNames>
    <sheetDataSet>
      <sheetData sheetId="0"/>
      <sheetData sheetId="1" refreshError="1"/>
      <sheetData sheetId="2">
        <row r="2">
          <cell r="K2" t="str">
            <v>Alabama</v>
          </cell>
          <cell r="L2" t="str">
            <v>SE</v>
          </cell>
          <cell r="N2" t="str">
            <v>SE</v>
          </cell>
          <cell r="O2">
            <v>9.75E-3</v>
          </cell>
          <cell r="P2">
            <v>6.4999999999999997E-3</v>
          </cell>
          <cell r="Q2">
            <v>5.1999999999999998E-3</v>
          </cell>
          <cell r="R2">
            <v>4.1999999999999997E-3</v>
          </cell>
          <cell r="S2">
            <v>3.3999999999999998E-3</v>
          </cell>
          <cell r="T2">
            <v>5.1999999999999998E-3</v>
          </cell>
          <cell r="U2">
            <v>4.1999999999999997E-3</v>
          </cell>
          <cell r="V2">
            <v>3.3999999999999998E-3</v>
          </cell>
        </row>
        <row r="3">
          <cell r="K3" t="str">
            <v>Alaska</v>
          </cell>
          <cell r="L3" t="str">
            <v>PC</v>
          </cell>
          <cell r="N3" t="str">
            <v>PC</v>
          </cell>
          <cell r="O3">
            <v>1.3500000000000002E-2</v>
          </cell>
          <cell r="P3">
            <v>9.0000000000000011E-3</v>
          </cell>
          <cell r="Q3">
            <v>7.1999999999999998E-3</v>
          </cell>
          <cell r="R3">
            <v>5.7999999999999996E-3</v>
          </cell>
          <cell r="S3">
            <v>4.5999999999999999E-3</v>
          </cell>
          <cell r="T3">
            <v>7.1999999999999998E-3</v>
          </cell>
          <cell r="U3">
            <v>5.7999999999999996E-3</v>
          </cell>
          <cell r="V3">
            <v>4.5999999999999999E-3</v>
          </cell>
        </row>
        <row r="4">
          <cell r="K4" t="str">
            <v>Arizona</v>
          </cell>
          <cell r="L4" t="str">
            <v>SW</v>
          </cell>
          <cell r="N4" t="str">
            <v>SW</v>
          </cell>
          <cell r="O4">
            <v>1.0499999999999999E-2</v>
          </cell>
          <cell r="P4">
            <v>6.9999999999999993E-3</v>
          </cell>
          <cell r="Q4">
            <v>5.5999999999999999E-3</v>
          </cell>
          <cell r="R4">
            <v>4.4999999999999997E-3</v>
          </cell>
          <cell r="S4">
            <v>3.5999999999999999E-3</v>
          </cell>
          <cell r="T4">
            <v>5.5999999999999999E-3</v>
          </cell>
          <cell r="U4">
            <v>4.4999999999999997E-3</v>
          </cell>
          <cell r="V4">
            <v>3.5999999999999999E-3</v>
          </cell>
        </row>
        <row r="5">
          <cell r="K5" t="str">
            <v>Arkansas</v>
          </cell>
          <cell r="L5" t="str">
            <v>SE</v>
          </cell>
          <cell r="N5" t="str">
            <v>MT</v>
          </cell>
          <cell r="O5">
            <v>9.0000000000000011E-3</v>
          </cell>
          <cell r="P5">
            <v>6.0000000000000001E-3</v>
          </cell>
          <cell r="Q5">
            <v>4.7999999999999996E-3</v>
          </cell>
          <cell r="R5">
            <v>3.8E-3</v>
          </cell>
          <cell r="S5">
            <v>3.0000000000000001E-3</v>
          </cell>
          <cell r="T5">
            <v>4.7999999999999996E-3</v>
          </cell>
          <cell r="U5">
            <v>3.8E-3</v>
          </cell>
          <cell r="V5">
            <v>3.0000000000000001E-3</v>
          </cell>
        </row>
        <row r="6">
          <cell r="K6" t="str">
            <v>California</v>
          </cell>
          <cell r="L6" t="str">
            <v>PC</v>
          </cell>
          <cell r="N6" t="str">
            <v>MA</v>
          </cell>
          <cell r="O6">
            <v>1.4249999999999999E-2</v>
          </cell>
          <cell r="P6">
            <v>9.4999999999999998E-3</v>
          </cell>
          <cell r="Q6">
            <v>7.6E-3</v>
          </cell>
          <cell r="R6">
            <v>6.1000000000000004E-3</v>
          </cell>
          <cell r="S6">
            <v>4.8999999999999998E-3</v>
          </cell>
          <cell r="T6">
            <v>7.6E-3</v>
          </cell>
          <cell r="U6">
            <v>6.1000000000000004E-3</v>
          </cell>
          <cell r="V6">
            <v>4.8999999999999998E-3</v>
          </cell>
        </row>
        <row r="7">
          <cell r="K7" t="str">
            <v>Colorado</v>
          </cell>
          <cell r="L7" t="str">
            <v>MT</v>
          </cell>
          <cell r="N7" t="str">
            <v>MW</v>
          </cell>
          <cell r="O7">
            <v>1.0800000000000001E-2</v>
          </cell>
          <cell r="P7">
            <v>7.1999999999999998E-3</v>
          </cell>
          <cell r="Q7">
            <v>5.7999999999999996E-3</v>
          </cell>
          <cell r="R7">
            <v>4.5999999999999999E-3</v>
          </cell>
          <cell r="S7">
            <v>3.7000000000000002E-3</v>
          </cell>
          <cell r="T7">
            <v>5.7999999999999996E-3</v>
          </cell>
          <cell r="U7">
            <v>4.5999999999999999E-3</v>
          </cell>
          <cell r="V7">
            <v>3.7000000000000002E-3</v>
          </cell>
        </row>
        <row r="8">
          <cell r="K8" t="str">
            <v>Connecticut</v>
          </cell>
          <cell r="L8" t="str">
            <v>NE</v>
          </cell>
          <cell r="N8" t="str">
            <v>NE</v>
          </cell>
          <cell r="O8">
            <v>1.2E-2</v>
          </cell>
          <cell r="P8">
            <v>8.0000000000000002E-3</v>
          </cell>
          <cell r="Q8">
            <v>6.4000000000000003E-3</v>
          </cell>
          <cell r="R8">
            <v>5.1000000000000004E-3</v>
          </cell>
          <cell r="S8">
            <v>4.1000000000000003E-3</v>
          </cell>
          <cell r="T8">
            <v>6.4000000000000003E-3</v>
          </cell>
          <cell r="U8">
            <v>5.1000000000000004E-3</v>
          </cell>
          <cell r="V8">
            <v>4.1000000000000003E-3</v>
          </cell>
        </row>
        <row r="9">
          <cell r="K9" t="str">
            <v>Delaware</v>
          </cell>
          <cell r="L9" t="str">
            <v>MA</v>
          </cell>
        </row>
        <row r="10">
          <cell r="K10" t="str">
            <v>District of Columbia</v>
          </cell>
          <cell r="L10" t="str">
            <v>MA</v>
          </cell>
        </row>
        <row r="11">
          <cell r="K11" t="str">
            <v>Florida</v>
          </cell>
          <cell r="L11" t="str">
            <v>SE</v>
          </cell>
        </row>
        <row r="12">
          <cell r="K12" t="str">
            <v>Georgia</v>
          </cell>
          <cell r="L12" t="str">
            <v>SE</v>
          </cell>
        </row>
        <row r="13">
          <cell r="K13" t="str">
            <v>Hawaii</v>
          </cell>
          <cell r="L13" t="str">
            <v>PC</v>
          </cell>
        </row>
        <row r="14">
          <cell r="K14" t="str">
            <v>Idaho</v>
          </cell>
          <cell r="L14" t="str">
            <v>MT</v>
          </cell>
        </row>
        <row r="15">
          <cell r="K15" t="str">
            <v>Illinois</v>
          </cell>
          <cell r="L15" t="str">
            <v>MW</v>
          </cell>
        </row>
        <row r="16">
          <cell r="K16" t="str">
            <v>Indiana</v>
          </cell>
          <cell r="L16" t="str">
            <v>MW</v>
          </cell>
        </row>
        <row r="17">
          <cell r="K17" t="str">
            <v>Iowa</v>
          </cell>
          <cell r="L17" t="str">
            <v>MW</v>
          </cell>
        </row>
        <row r="18">
          <cell r="K18" t="str">
            <v>Kansas</v>
          </cell>
          <cell r="L18" t="str">
            <v>MW</v>
          </cell>
        </row>
        <row r="19">
          <cell r="K19" t="str">
            <v>Kentucky</v>
          </cell>
          <cell r="L19" t="str">
            <v>SE</v>
          </cell>
        </row>
        <row r="20">
          <cell r="K20" t="str">
            <v>Louisiana</v>
          </cell>
          <cell r="L20" t="str">
            <v>SE</v>
          </cell>
        </row>
        <row r="21">
          <cell r="K21" t="str">
            <v>Maine</v>
          </cell>
          <cell r="L21" t="str">
            <v>NE</v>
          </cell>
        </row>
        <row r="22">
          <cell r="K22" t="str">
            <v>Maryland</v>
          </cell>
          <cell r="L22" t="str">
            <v>MA</v>
          </cell>
        </row>
        <row r="23">
          <cell r="K23" t="str">
            <v>Massachusetts</v>
          </cell>
          <cell r="L23" t="str">
            <v>NE</v>
          </cell>
        </row>
        <row r="24">
          <cell r="K24" t="str">
            <v>Michigan</v>
          </cell>
          <cell r="L24" t="str">
            <v>MW</v>
          </cell>
        </row>
        <row r="25">
          <cell r="K25" t="str">
            <v>Minnesota</v>
          </cell>
          <cell r="L25" t="str">
            <v>MW</v>
          </cell>
        </row>
        <row r="26">
          <cell r="K26" t="str">
            <v>Mississippi</v>
          </cell>
          <cell r="L26" t="str">
            <v>SE</v>
          </cell>
        </row>
        <row r="27">
          <cell r="K27" t="str">
            <v>Missouri</v>
          </cell>
          <cell r="L27" t="str">
            <v>MW</v>
          </cell>
        </row>
        <row r="28">
          <cell r="K28" t="str">
            <v>Montana</v>
          </cell>
          <cell r="L28" t="str">
            <v>MT</v>
          </cell>
        </row>
        <row r="29">
          <cell r="K29" t="str">
            <v>Nebraska</v>
          </cell>
          <cell r="L29" t="str">
            <v>MW</v>
          </cell>
        </row>
        <row r="30">
          <cell r="K30" t="str">
            <v>Nevada</v>
          </cell>
          <cell r="L30" t="str">
            <v>MT</v>
          </cell>
        </row>
        <row r="31">
          <cell r="K31" t="str">
            <v>New Hampshire</v>
          </cell>
          <cell r="L31" t="str">
            <v>NE</v>
          </cell>
        </row>
        <row r="32">
          <cell r="K32" t="str">
            <v>New Jersey</v>
          </cell>
          <cell r="L32" t="str">
            <v>MA</v>
          </cell>
        </row>
        <row r="33">
          <cell r="K33" t="str">
            <v>New Mexico</v>
          </cell>
          <cell r="L33" t="str">
            <v>SW</v>
          </cell>
        </row>
        <row r="34">
          <cell r="K34" t="str">
            <v>New York</v>
          </cell>
          <cell r="L34" t="str">
            <v>MA</v>
          </cell>
        </row>
        <row r="35">
          <cell r="K35" t="str">
            <v>North Carolina</v>
          </cell>
          <cell r="L35" t="str">
            <v>SE</v>
          </cell>
        </row>
        <row r="36">
          <cell r="K36" t="str">
            <v>North Dakota</v>
          </cell>
          <cell r="L36" t="str">
            <v>MW</v>
          </cell>
        </row>
        <row r="37">
          <cell r="K37" t="str">
            <v>Ohio</v>
          </cell>
          <cell r="L37" t="str">
            <v>MW</v>
          </cell>
        </row>
        <row r="38">
          <cell r="K38" t="str">
            <v>Oklahoma</v>
          </cell>
          <cell r="L38" t="str">
            <v>SW</v>
          </cell>
        </row>
        <row r="39">
          <cell r="K39" t="str">
            <v>Oregon</v>
          </cell>
          <cell r="L39" t="str">
            <v>PC</v>
          </cell>
        </row>
        <row r="40">
          <cell r="K40" t="str">
            <v>Pennsylvania</v>
          </cell>
          <cell r="L40" t="str">
            <v>MA</v>
          </cell>
        </row>
        <row r="41">
          <cell r="K41" t="str">
            <v>Rhode Island</v>
          </cell>
          <cell r="L41" t="str">
            <v>NE</v>
          </cell>
        </row>
        <row r="42">
          <cell r="K42" t="str">
            <v>South Carolina</v>
          </cell>
          <cell r="L42" t="str">
            <v>SE</v>
          </cell>
        </row>
        <row r="43">
          <cell r="K43" t="str">
            <v>South Dakota</v>
          </cell>
          <cell r="L43" t="str">
            <v>MW</v>
          </cell>
        </row>
        <row r="44">
          <cell r="K44" t="str">
            <v>Tennessee</v>
          </cell>
          <cell r="L44" t="str">
            <v>SE</v>
          </cell>
        </row>
        <row r="45">
          <cell r="K45" t="str">
            <v>Texas</v>
          </cell>
          <cell r="L45" t="str">
            <v>SW</v>
          </cell>
        </row>
        <row r="46">
          <cell r="K46" t="str">
            <v>Utah</v>
          </cell>
          <cell r="L46" t="str">
            <v>MT</v>
          </cell>
        </row>
        <row r="47">
          <cell r="K47" t="str">
            <v>Vermont</v>
          </cell>
          <cell r="L47" t="str">
            <v>NE</v>
          </cell>
        </row>
        <row r="48">
          <cell r="K48" t="str">
            <v>Virginia</v>
          </cell>
          <cell r="L48" t="str">
            <v>MA</v>
          </cell>
        </row>
        <row r="49">
          <cell r="K49" t="str">
            <v>Washington</v>
          </cell>
          <cell r="L49" t="str">
            <v>PC</v>
          </cell>
        </row>
        <row r="50">
          <cell r="K50" t="str">
            <v>West Virginia</v>
          </cell>
          <cell r="L50" t="str">
            <v>MA</v>
          </cell>
        </row>
        <row r="51">
          <cell r="K51" t="str">
            <v>Wisconsin</v>
          </cell>
          <cell r="L51" t="str">
            <v>MW</v>
          </cell>
        </row>
        <row r="52">
          <cell r="K52" t="str">
            <v>Wyoming</v>
          </cell>
          <cell r="L52" t="str">
            <v>MT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53EC9-A08D-4A6A-93C4-BD79396077B2}">
  <sheetPr>
    <tabColor rgb="FF00B050"/>
  </sheetPr>
  <dimension ref="A1:U14"/>
  <sheetViews>
    <sheetView zoomScaleNormal="100" workbookViewId="0">
      <selection sqref="A1:U1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s="14" customFormat="1" ht="27.75" customHeight="1" x14ac:dyDescent="0.3">
      <c r="A1" s="35" t="s">
        <v>96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1:21" ht="55.5" customHeight="1" x14ac:dyDescent="0.4">
      <c r="A2" s="36" t="s">
        <v>97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ht="23.4" x14ac:dyDescent="0.3">
      <c r="A3" s="34" t="s">
        <v>58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</row>
    <row r="4" spans="1:21" ht="23.4" x14ac:dyDescent="0.3">
      <c r="A4" s="34" t="s">
        <v>59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</row>
    <row r="5" spans="1:21" ht="23.4" x14ac:dyDescent="0.3">
      <c r="A5" s="34" t="s">
        <v>60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</row>
    <row r="6" spans="1:21" ht="23.4" x14ac:dyDescent="0.3">
      <c r="A6" s="34" t="s">
        <v>61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</row>
    <row r="7" spans="1:21" ht="23.4" x14ac:dyDescent="0.3">
      <c r="A7" s="34" t="s">
        <v>62</v>
      </c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</row>
    <row r="8" spans="1:21" ht="23.4" x14ac:dyDescent="0.3">
      <c r="A8" s="34" t="s">
        <v>63</v>
      </c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</row>
    <row r="9" spans="1:21" ht="23.4" x14ac:dyDescent="0.3">
      <c r="A9" s="34" t="s">
        <v>64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</row>
    <row r="10" spans="1:21" ht="23.4" x14ac:dyDescent="0.3">
      <c r="A10" s="34" t="s">
        <v>65</v>
      </c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</row>
    <row r="11" spans="1:21" ht="23.4" x14ac:dyDescent="0.3">
      <c r="A11" s="34" t="s">
        <v>66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</row>
    <row r="12" spans="1:21" ht="23.4" x14ac:dyDescent="0.3">
      <c r="A12" s="34" t="s">
        <v>68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</row>
    <row r="13" spans="1:21" ht="23.4" x14ac:dyDescent="0.3">
      <c r="A13" s="34" t="s">
        <v>70</v>
      </c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</row>
    <row r="14" spans="1:21" ht="23.4" x14ac:dyDescent="0.3">
      <c r="A14" s="34" t="s">
        <v>78</v>
      </c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</row>
  </sheetData>
  <mergeCells count="14">
    <mergeCell ref="A14:U14"/>
    <mergeCell ref="A13:U13"/>
    <mergeCell ref="A12:U12"/>
    <mergeCell ref="A6:U6"/>
    <mergeCell ref="A1:U1"/>
    <mergeCell ref="A2:U2"/>
    <mergeCell ref="A3:U3"/>
    <mergeCell ref="A4:U4"/>
    <mergeCell ref="A5:U5"/>
    <mergeCell ref="A7:U7"/>
    <mergeCell ref="A8:U8"/>
    <mergeCell ref="A9:U9"/>
    <mergeCell ref="A10:U10"/>
    <mergeCell ref="A11:U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A1:U15"/>
  <sheetViews>
    <sheetView zoomScaleNormal="100" workbookViewId="0">
      <selection activeCell="A8" sqref="A8:U8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93" customHeight="1" x14ac:dyDescent="0.3">
      <c r="A2" s="39" t="s">
        <v>3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 t="s">
        <v>98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13:U13"/>
    <mergeCell ref="A14:U14"/>
    <mergeCell ref="A15:U15"/>
    <mergeCell ref="A7:U7"/>
    <mergeCell ref="A8:U8"/>
    <mergeCell ref="A9:U9"/>
    <mergeCell ref="A10:U10"/>
    <mergeCell ref="A11:U11"/>
    <mergeCell ref="A12:U12"/>
    <mergeCell ref="A6:U6"/>
    <mergeCell ref="A1:U1"/>
    <mergeCell ref="A2:U2"/>
    <mergeCell ref="A3:U3"/>
    <mergeCell ref="A4:U4"/>
    <mergeCell ref="A5:U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830BC-9AC2-4445-B5F7-913A41CF1A31}">
  <dimension ref="A1:J10"/>
  <sheetViews>
    <sheetView workbookViewId="0">
      <selection activeCell="I9" sqref="I9"/>
    </sheetView>
  </sheetViews>
  <sheetFormatPr defaultColWidth="9.109375" defaultRowHeight="14.4" x14ac:dyDescent="0.3"/>
  <cols>
    <col min="1" max="1" width="14.33203125" style="1" customWidth="1"/>
    <col min="2" max="2" width="20.33203125" style="1" bestFit="1" customWidth="1"/>
    <col min="3" max="6" width="11.5546875" style="1" bestFit="1" customWidth="1"/>
    <col min="7" max="8" width="9.109375" style="1"/>
    <col min="9" max="9" width="19.6640625" style="1" bestFit="1" customWidth="1"/>
    <col min="10" max="10" width="15.109375" style="1" customWidth="1"/>
    <col min="11" max="16384" width="9.109375" style="1"/>
  </cols>
  <sheetData>
    <row r="1" spans="1:10" ht="18" x14ac:dyDescent="0.35">
      <c r="A1" s="17" t="s">
        <v>71</v>
      </c>
      <c r="B1" s="17" t="s">
        <v>74</v>
      </c>
      <c r="C1" s="17" t="s">
        <v>28</v>
      </c>
      <c r="D1" s="17" t="s">
        <v>29</v>
      </c>
      <c r="E1" s="17" t="s">
        <v>30</v>
      </c>
      <c r="F1" s="17" t="s">
        <v>31</v>
      </c>
    </row>
    <row r="2" spans="1:10" ht="18" x14ac:dyDescent="0.35">
      <c r="A2" s="3">
        <v>1001</v>
      </c>
      <c r="B2" s="3" t="s">
        <v>33</v>
      </c>
      <c r="C2" s="3">
        <v>32000</v>
      </c>
      <c r="D2" s="3">
        <v>38564</v>
      </c>
      <c r="E2" s="3">
        <v>35380</v>
      </c>
      <c r="F2" s="3">
        <v>41635</v>
      </c>
      <c r="I2" s="15" t="s">
        <v>72</v>
      </c>
      <c r="J2" s="11">
        <v>1008</v>
      </c>
    </row>
    <row r="3" spans="1:10" ht="18" x14ac:dyDescent="0.35">
      <c r="A3" s="3">
        <v>1002</v>
      </c>
      <c r="B3" s="3" t="s">
        <v>34</v>
      </c>
      <c r="C3" s="3">
        <v>47500</v>
      </c>
      <c r="D3" s="3">
        <v>65822</v>
      </c>
      <c r="E3" s="3">
        <v>49066</v>
      </c>
      <c r="F3" s="3">
        <v>43695</v>
      </c>
      <c r="I3" s="15" t="s">
        <v>73</v>
      </c>
      <c r="J3" s="26" t="str">
        <f>VLOOKUP(J2,A2:F10,2,FALSE)</f>
        <v>Anver</v>
      </c>
    </row>
    <row r="4" spans="1:10" ht="18" x14ac:dyDescent="0.35">
      <c r="A4" s="3">
        <v>1003</v>
      </c>
      <c r="B4" s="3" t="s">
        <v>35</v>
      </c>
      <c r="C4" s="3">
        <v>53000</v>
      </c>
      <c r="D4" s="3">
        <v>45112</v>
      </c>
      <c r="E4" s="3">
        <v>40100</v>
      </c>
      <c r="F4" s="3">
        <v>42561</v>
      </c>
      <c r="I4" s="15" t="s">
        <v>28</v>
      </c>
      <c r="J4" s="16">
        <f>VLOOKUP(J2,A2:F10,3,0)</f>
        <v>42000</v>
      </c>
    </row>
    <row r="5" spans="1:10" ht="18" x14ac:dyDescent="0.35">
      <c r="A5" s="3">
        <v>1004</v>
      </c>
      <c r="B5" s="3" t="s">
        <v>36</v>
      </c>
      <c r="C5" s="3">
        <v>28750</v>
      </c>
      <c r="D5" s="3">
        <v>39348</v>
      </c>
      <c r="E5" s="3">
        <v>47254</v>
      </c>
      <c r="F5" s="3">
        <v>39330</v>
      </c>
      <c r="I5" s="15" t="s">
        <v>29</v>
      </c>
      <c r="J5" s="16">
        <f>VLOOKUP(J2,A2:F10,4,0)</f>
        <v>45647</v>
      </c>
    </row>
    <row r="6" spans="1:10" ht="18" x14ac:dyDescent="0.35">
      <c r="A6" s="3">
        <v>1005</v>
      </c>
      <c r="B6" s="3" t="s">
        <v>37</v>
      </c>
      <c r="C6" s="3">
        <v>37650</v>
      </c>
      <c r="D6" s="3">
        <v>41317</v>
      </c>
      <c r="E6" s="3">
        <v>40534</v>
      </c>
      <c r="F6" s="3">
        <v>42400</v>
      </c>
      <c r="I6" s="15" t="s">
        <v>30</v>
      </c>
      <c r="J6" s="16">
        <f>VLOOKUP(J2,A2:F10,5,0)</f>
        <v>41177</v>
      </c>
    </row>
    <row r="7" spans="1:10" ht="18" x14ac:dyDescent="0.35">
      <c r="A7" s="3">
        <v>1006</v>
      </c>
      <c r="B7" s="3" t="s">
        <v>38</v>
      </c>
      <c r="C7" s="3">
        <v>29995</v>
      </c>
      <c r="D7" s="3">
        <v>42620</v>
      </c>
      <c r="E7" s="3">
        <v>33081</v>
      </c>
      <c r="F7" s="3">
        <v>38432</v>
      </c>
      <c r="I7" s="15" t="s">
        <v>31</v>
      </c>
      <c r="J7" s="16">
        <f>VLOOKUP(J2,A2:F10,6,0)</f>
        <v>35800</v>
      </c>
    </row>
    <row r="8" spans="1:10" ht="15.6" x14ac:dyDescent="0.3">
      <c r="A8" s="3">
        <v>1007</v>
      </c>
      <c r="B8" s="3" t="s">
        <v>39</v>
      </c>
      <c r="C8" s="3">
        <v>75412</v>
      </c>
      <c r="D8" s="3">
        <v>27770</v>
      </c>
      <c r="E8" s="3">
        <v>42903</v>
      </c>
      <c r="F8" s="3">
        <v>28248</v>
      </c>
    </row>
    <row r="9" spans="1:10" ht="18" x14ac:dyDescent="0.35">
      <c r="A9" s="3">
        <v>1008</v>
      </c>
      <c r="B9" s="3" t="s">
        <v>40</v>
      </c>
      <c r="C9" s="3">
        <v>42000</v>
      </c>
      <c r="D9" s="3">
        <v>45647</v>
      </c>
      <c r="E9" s="3">
        <v>41177</v>
      </c>
      <c r="F9" s="3">
        <v>35800</v>
      </c>
      <c r="I9" s="32" t="s">
        <v>117</v>
      </c>
    </row>
    <row r="10" spans="1:10" ht="15.6" x14ac:dyDescent="0.3">
      <c r="A10" s="3">
        <v>1009</v>
      </c>
      <c r="B10" s="3" t="s">
        <v>41</v>
      </c>
      <c r="C10" s="3">
        <v>48990</v>
      </c>
      <c r="D10" s="3">
        <v>28317</v>
      </c>
      <c r="E10" s="3">
        <v>45265</v>
      </c>
      <c r="F10" s="3">
        <v>27515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A3E1-F2DA-47A3-A8CE-5F96261EF4AB}">
  <sheetPr>
    <tabColor rgb="FF00B050"/>
  </sheetPr>
  <dimension ref="A1:U15"/>
  <sheetViews>
    <sheetView zoomScaleNormal="100" workbookViewId="0">
      <selection activeCell="A8" sqref="A8:U8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99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93" customHeight="1" x14ac:dyDescent="0.3">
      <c r="A2" s="39" t="s">
        <v>51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6:U6"/>
    <mergeCell ref="A1:U1"/>
    <mergeCell ref="A2:U2"/>
    <mergeCell ref="A3:U3"/>
    <mergeCell ref="A4:U4"/>
    <mergeCell ref="A5:U5"/>
    <mergeCell ref="A13:U13"/>
    <mergeCell ref="A14:U14"/>
    <mergeCell ref="A15:U15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53E65-E0C8-4E5D-9626-968051A82350}">
  <dimension ref="A1:D11"/>
  <sheetViews>
    <sheetView workbookViewId="0">
      <selection activeCell="D2" sqref="D2"/>
    </sheetView>
  </sheetViews>
  <sheetFormatPr defaultColWidth="9.109375" defaultRowHeight="14.4" x14ac:dyDescent="0.3"/>
  <cols>
    <col min="1" max="3" width="11.5546875" style="1" bestFit="1" customWidth="1"/>
    <col min="4" max="4" width="29.109375" style="1" bestFit="1" customWidth="1"/>
    <col min="5" max="16384" width="9.109375" style="1"/>
  </cols>
  <sheetData>
    <row r="1" spans="1:4" ht="18" x14ac:dyDescent="0.35">
      <c r="A1" s="17" t="s">
        <v>27</v>
      </c>
      <c r="B1" s="17" t="s">
        <v>28</v>
      </c>
      <c r="C1" s="17" t="s">
        <v>29</v>
      </c>
      <c r="D1" s="17" t="s">
        <v>32</v>
      </c>
    </row>
    <row r="2" spans="1:4" ht="15.6" x14ac:dyDescent="0.3">
      <c r="A2" s="3" t="s">
        <v>34</v>
      </c>
      <c r="B2" s="3">
        <v>47500</v>
      </c>
      <c r="C2" s="3">
        <v>65822</v>
      </c>
      <c r="D2" s="4" t="b">
        <f>AND(B2&gt;40000,C2&gt;40000)</f>
        <v>1</v>
      </c>
    </row>
    <row r="3" spans="1:4" ht="15.6" x14ac:dyDescent="0.3">
      <c r="A3" s="3" t="s">
        <v>35</v>
      </c>
      <c r="B3" s="3">
        <v>53000</v>
      </c>
      <c r="C3" s="3">
        <v>45112</v>
      </c>
      <c r="D3" s="4" t="b">
        <f t="shared" ref="D3:D9" si="0">AND(B3&gt;40000,C3&gt;40000)</f>
        <v>1</v>
      </c>
    </row>
    <row r="4" spans="1:4" ht="15.6" x14ac:dyDescent="0.3">
      <c r="A4" s="3" t="s">
        <v>36</v>
      </c>
      <c r="B4" s="3">
        <v>28750</v>
      </c>
      <c r="C4" s="3">
        <v>39348</v>
      </c>
      <c r="D4" s="4" t="b">
        <f t="shared" si="0"/>
        <v>0</v>
      </c>
    </row>
    <row r="5" spans="1:4" ht="15.6" x14ac:dyDescent="0.3">
      <c r="A5" s="3" t="s">
        <v>37</v>
      </c>
      <c r="B5" s="3">
        <v>40001</v>
      </c>
      <c r="C5" s="3">
        <v>41317</v>
      </c>
      <c r="D5" s="4" t="b">
        <f t="shared" si="0"/>
        <v>1</v>
      </c>
    </row>
    <row r="6" spans="1:4" ht="15.6" x14ac:dyDescent="0.3">
      <c r="A6" s="3" t="s">
        <v>38</v>
      </c>
      <c r="B6" s="3">
        <v>29995</v>
      </c>
      <c r="C6" s="3">
        <v>42620</v>
      </c>
      <c r="D6" s="4" t="b">
        <f t="shared" si="0"/>
        <v>0</v>
      </c>
    </row>
    <row r="7" spans="1:4" ht="15.6" x14ac:dyDescent="0.3">
      <c r="A7" s="3" t="s">
        <v>39</v>
      </c>
      <c r="B7" s="3">
        <v>75412</v>
      </c>
      <c r="C7" s="3">
        <v>27770</v>
      </c>
      <c r="D7" s="4" t="b">
        <f t="shared" si="0"/>
        <v>0</v>
      </c>
    </row>
    <row r="8" spans="1:4" ht="15.6" x14ac:dyDescent="0.3">
      <c r="A8" s="3" t="s">
        <v>40</v>
      </c>
      <c r="B8" s="3">
        <v>51200</v>
      </c>
      <c r="C8" s="3">
        <v>45647</v>
      </c>
      <c r="D8" s="4" t="b">
        <f t="shared" si="0"/>
        <v>1</v>
      </c>
    </row>
    <row r="9" spans="1:4" ht="15.6" x14ac:dyDescent="0.3">
      <c r="A9" s="3" t="s">
        <v>41</v>
      </c>
      <c r="B9" s="3">
        <v>48990</v>
      </c>
      <c r="C9" s="3">
        <v>28317</v>
      </c>
      <c r="D9" s="4" t="b">
        <f t="shared" si="0"/>
        <v>0</v>
      </c>
    </row>
    <row r="11" spans="1:4" ht="15.6" x14ac:dyDescent="0.3">
      <c r="A11" s="33" t="s">
        <v>118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E0340-9B03-47EA-972C-35C202204D4D}">
  <sheetPr>
    <tabColor rgb="FF00B050"/>
  </sheetPr>
  <dimension ref="A1:U15"/>
  <sheetViews>
    <sheetView zoomScaleNormal="100" workbookViewId="0">
      <selection sqref="A1:U1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93" customHeight="1" x14ac:dyDescent="0.3">
      <c r="A2" s="39" t="s">
        <v>49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6:U6"/>
    <mergeCell ref="A1:U1"/>
    <mergeCell ref="A2:U2"/>
    <mergeCell ref="A3:U3"/>
    <mergeCell ref="A4:U4"/>
    <mergeCell ref="A5:U5"/>
    <mergeCell ref="A13:U13"/>
    <mergeCell ref="A14:U14"/>
    <mergeCell ref="A15:U15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0967-3503-439F-817F-75A82F202BAB}">
  <dimension ref="A1:B6"/>
  <sheetViews>
    <sheetView workbookViewId="0">
      <selection activeCell="B2" sqref="B2"/>
    </sheetView>
  </sheetViews>
  <sheetFormatPr defaultColWidth="9.109375" defaultRowHeight="14.4" x14ac:dyDescent="0.3"/>
  <cols>
    <col min="1" max="1" width="13.109375" style="1" bestFit="1" customWidth="1"/>
    <col min="2" max="2" width="22.44140625" style="1" customWidth="1"/>
    <col min="3" max="16384" width="9.109375" style="1"/>
  </cols>
  <sheetData>
    <row r="1" spans="1:2" ht="18" x14ac:dyDescent="0.35">
      <c r="A1" s="5" t="s">
        <v>42</v>
      </c>
      <c r="B1" s="5" t="s">
        <v>43</v>
      </c>
    </row>
    <row r="2" spans="1:2" x14ac:dyDescent="0.3">
      <c r="A2" s="6" t="s">
        <v>44</v>
      </c>
      <c r="B2" s="7" t="str">
        <f>UPPER(A2)</f>
        <v>SANFER</v>
      </c>
    </row>
    <row r="3" spans="1:2" x14ac:dyDescent="0.3">
      <c r="A3" s="8" t="s">
        <v>40</v>
      </c>
      <c r="B3" s="7" t="str">
        <f t="shared" ref="B3:B6" si="0">UPPER(A3)</f>
        <v>ANVER</v>
      </c>
    </row>
    <row r="4" spans="1:2" x14ac:dyDescent="0.3">
      <c r="A4" s="6" t="s">
        <v>41</v>
      </c>
      <c r="B4" s="7" t="str">
        <f t="shared" si="0"/>
        <v>ASKER</v>
      </c>
    </row>
    <row r="5" spans="1:2" x14ac:dyDescent="0.3">
      <c r="A5" s="8" t="s">
        <v>45</v>
      </c>
      <c r="B5" s="7" t="str">
        <f t="shared" si="0"/>
        <v>AMJATH</v>
      </c>
    </row>
    <row r="6" spans="1:2" x14ac:dyDescent="0.3">
      <c r="A6" s="6" t="s">
        <v>46</v>
      </c>
      <c r="B6" s="7" t="str">
        <f t="shared" si="0"/>
        <v>RINAAS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4C27A-B002-47D0-83A8-29413D7B3ACC}">
  <sheetPr>
    <tabColor rgb="FF00B050"/>
  </sheetPr>
  <dimension ref="A1:U15"/>
  <sheetViews>
    <sheetView zoomScaleNormal="100" workbookViewId="0">
      <selection activeCell="A10" sqref="A10:U10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101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72" customHeight="1" x14ac:dyDescent="0.3">
      <c r="A2" s="39" t="s">
        <v>75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6:U6"/>
    <mergeCell ref="A1:U1"/>
    <mergeCell ref="A2:U2"/>
    <mergeCell ref="A3:U3"/>
    <mergeCell ref="A4:U4"/>
    <mergeCell ref="A5:U5"/>
    <mergeCell ref="A13:U13"/>
    <mergeCell ref="A14:U14"/>
    <mergeCell ref="A15:U15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20BB-CB33-421D-A4A3-A949BEE78E46}">
  <dimension ref="A1:C7"/>
  <sheetViews>
    <sheetView workbookViewId="0">
      <selection activeCell="A2" sqref="A2"/>
    </sheetView>
  </sheetViews>
  <sheetFormatPr defaultColWidth="9.109375" defaultRowHeight="14.4" x14ac:dyDescent="0.3"/>
  <cols>
    <col min="1" max="1" width="13.109375" style="1" bestFit="1" customWidth="1"/>
    <col min="2" max="2" width="13.109375" style="1" customWidth="1"/>
    <col min="3" max="3" width="16.5546875" style="1" customWidth="1"/>
    <col min="4" max="8" width="9.109375" style="1"/>
    <col min="9" max="9" width="15.5546875" style="1" customWidth="1"/>
    <col min="10" max="16384" width="9.109375" style="1"/>
  </cols>
  <sheetData>
    <row r="1" spans="1:3" ht="26.25" customHeight="1" x14ac:dyDescent="0.35">
      <c r="A1" s="9" t="s">
        <v>42</v>
      </c>
      <c r="B1" s="10" t="s">
        <v>42</v>
      </c>
      <c r="C1" s="5" t="s">
        <v>48</v>
      </c>
    </row>
    <row r="2" spans="1:3" x14ac:dyDescent="0.3">
      <c r="A2" s="18" t="s">
        <v>76</v>
      </c>
      <c r="B2" s="18" t="s">
        <v>44</v>
      </c>
      <c r="C2" s="11" t="b">
        <f>EXACT(A2,B2)</f>
        <v>0</v>
      </c>
    </row>
    <row r="3" spans="1:3" x14ac:dyDescent="0.3">
      <c r="A3" s="18" t="s">
        <v>40</v>
      </c>
      <c r="B3" s="18" t="s">
        <v>76</v>
      </c>
      <c r="C3" s="11" t="b">
        <f t="shared" ref="C3:C7" si="0">EXACT(A3,B3)</f>
        <v>0</v>
      </c>
    </row>
    <row r="4" spans="1:3" x14ac:dyDescent="0.3">
      <c r="A4" s="18" t="s">
        <v>41</v>
      </c>
      <c r="B4" s="18" t="s">
        <v>41</v>
      </c>
      <c r="C4" s="11" t="b">
        <f t="shared" si="0"/>
        <v>1</v>
      </c>
    </row>
    <row r="5" spans="1:3" x14ac:dyDescent="0.3">
      <c r="A5" s="18" t="s">
        <v>45</v>
      </c>
      <c r="B5" s="18" t="s">
        <v>45</v>
      </c>
      <c r="C5" s="11" t="b">
        <f t="shared" si="0"/>
        <v>1</v>
      </c>
    </row>
    <row r="6" spans="1:3" x14ac:dyDescent="0.3">
      <c r="A6" s="18" t="s">
        <v>46</v>
      </c>
      <c r="B6" s="18" t="s">
        <v>77</v>
      </c>
      <c r="C6" s="11" t="b">
        <f t="shared" si="0"/>
        <v>0</v>
      </c>
    </row>
    <row r="7" spans="1:3" x14ac:dyDescent="0.3">
      <c r="A7" s="18" t="s">
        <v>47</v>
      </c>
      <c r="B7" s="18" t="s">
        <v>47</v>
      </c>
      <c r="C7" s="11" t="b">
        <f t="shared" si="0"/>
        <v>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E5B03-83C2-457D-A20B-242F26D75C67}">
  <sheetPr>
    <tabColor rgb="FF00B050"/>
  </sheetPr>
  <dimension ref="A1:U15"/>
  <sheetViews>
    <sheetView zoomScaleNormal="100" workbookViewId="0">
      <selection activeCell="A10" sqref="A10:U10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102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57.75" customHeight="1" x14ac:dyDescent="0.3">
      <c r="A2" s="39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6:U6"/>
    <mergeCell ref="A1:U1"/>
    <mergeCell ref="A2:U2"/>
    <mergeCell ref="A3:U3"/>
    <mergeCell ref="A4:U4"/>
    <mergeCell ref="A5:U5"/>
    <mergeCell ref="A13:U13"/>
    <mergeCell ref="A14:U14"/>
    <mergeCell ref="A15:U15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0C715-171F-42A4-B5AB-50539564EE05}">
  <dimension ref="A1:K17"/>
  <sheetViews>
    <sheetView workbookViewId="0">
      <selection activeCell="A13" sqref="A13"/>
    </sheetView>
  </sheetViews>
  <sheetFormatPr defaultColWidth="9.109375" defaultRowHeight="14.4" x14ac:dyDescent="0.3"/>
  <cols>
    <col min="1" max="1" width="23.5546875" style="1" bestFit="1" customWidth="1"/>
    <col min="2" max="5" width="11.5546875" style="1" bestFit="1" customWidth="1"/>
    <col min="6" max="6" width="9.109375" style="1"/>
    <col min="7" max="7" width="25.5546875" style="1" bestFit="1" customWidth="1"/>
    <col min="8" max="9" width="9.109375" style="1"/>
    <col min="10" max="10" width="22.109375" style="1" customWidth="1"/>
    <col min="11" max="11" width="20.44140625" style="1" customWidth="1"/>
    <col min="12" max="16384" width="9.109375" style="1"/>
  </cols>
  <sheetData>
    <row r="1" spans="1:11" ht="18" x14ac:dyDescent="0.35">
      <c r="A1" s="19" t="s">
        <v>52</v>
      </c>
      <c r="B1" s="19" t="s">
        <v>28</v>
      </c>
      <c r="C1" s="19" t="s">
        <v>29</v>
      </c>
      <c r="D1" s="19" t="s">
        <v>30</v>
      </c>
      <c r="E1" s="19" t="s">
        <v>31</v>
      </c>
      <c r="F1" s="19" t="s">
        <v>53</v>
      </c>
      <c r="G1" s="19" t="s">
        <v>54</v>
      </c>
    </row>
    <row r="2" spans="1:11" ht="15.6" x14ac:dyDescent="0.3">
      <c r="A2" s="3" t="s">
        <v>33</v>
      </c>
      <c r="B2" s="4">
        <v>32000</v>
      </c>
      <c r="C2" s="4">
        <v>38564</v>
      </c>
      <c r="D2" s="4">
        <v>35380</v>
      </c>
      <c r="E2" s="4">
        <v>60000</v>
      </c>
      <c r="F2" s="12">
        <f>SUM(B2:E2)</f>
        <v>165944</v>
      </c>
      <c r="G2" s="4" t="str">
        <f>IF(F2&gt;160000,"ELIGIBLE","NOT ELIGIBLE")</f>
        <v>ELIGIBLE</v>
      </c>
    </row>
    <row r="3" spans="1:11" ht="15.6" x14ac:dyDescent="0.3">
      <c r="A3" s="3" t="s">
        <v>34</v>
      </c>
      <c r="B3" s="4">
        <v>47500</v>
      </c>
      <c r="C3" s="4">
        <v>65822</v>
      </c>
      <c r="D3" s="4">
        <v>49066</v>
      </c>
      <c r="E3" s="4">
        <v>43695</v>
      </c>
      <c r="F3" s="12">
        <f t="shared" ref="F3:F10" si="0">SUM(B3:E3)</f>
        <v>206083</v>
      </c>
      <c r="G3" s="4" t="str">
        <f t="shared" ref="G3:G10" si="1">IF(F3&gt;160000,"ELIGIBLE","NOT ELIGIBLE")</f>
        <v>ELIGIBLE</v>
      </c>
    </row>
    <row r="4" spans="1:11" ht="15.6" x14ac:dyDescent="0.3">
      <c r="A4" s="3" t="s">
        <v>35</v>
      </c>
      <c r="B4" s="4">
        <v>53000</v>
      </c>
      <c r="C4" s="4">
        <v>45112</v>
      </c>
      <c r="D4" s="4">
        <v>39866</v>
      </c>
      <c r="E4" s="4">
        <v>42561</v>
      </c>
      <c r="F4" s="12">
        <f t="shared" si="0"/>
        <v>180539</v>
      </c>
      <c r="G4" s="4" t="str">
        <f t="shared" si="1"/>
        <v>ELIGIBLE</v>
      </c>
    </row>
    <row r="5" spans="1:11" ht="15.6" x14ac:dyDescent="0.3">
      <c r="A5" s="3" t="s">
        <v>36</v>
      </c>
      <c r="B5" s="4">
        <v>28750</v>
      </c>
      <c r="C5" s="4">
        <v>39348</v>
      </c>
      <c r="D5" s="4">
        <v>47254</v>
      </c>
      <c r="E5" s="4">
        <v>39330</v>
      </c>
      <c r="F5" s="12">
        <v>161000</v>
      </c>
      <c r="G5" s="4" t="str">
        <f t="shared" si="1"/>
        <v>ELIGIBLE</v>
      </c>
    </row>
    <row r="6" spans="1:11" ht="15.6" x14ac:dyDescent="0.3">
      <c r="A6" s="3" t="s">
        <v>37</v>
      </c>
      <c r="B6" s="4">
        <v>37650</v>
      </c>
      <c r="C6" s="4">
        <v>41317</v>
      </c>
      <c r="D6" s="4">
        <v>40534</v>
      </c>
      <c r="E6" s="4">
        <v>42400</v>
      </c>
      <c r="F6" s="12">
        <f t="shared" si="0"/>
        <v>161901</v>
      </c>
      <c r="G6" s="4" t="str">
        <f t="shared" si="1"/>
        <v>ELIGIBLE</v>
      </c>
    </row>
    <row r="7" spans="1:11" ht="15.6" x14ac:dyDescent="0.3">
      <c r="A7" s="3" t="s">
        <v>38</v>
      </c>
      <c r="B7" s="4">
        <v>29995</v>
      </c>
      <c r="C7" s="4">
        <v>42620</v>
      </c>
      <c r="D7" s="4">
        <v>33081</v>
      </c>
      <c r="E7" s="4">
        <v>38432</v>
      </c>
      <c r="F7" s="12">
        <f t="shared" si="0"/>
        <v>144128</v>
      </c>
      <c r="G7" s="4" t="str">
        <f t="shared" si="1"/>
        <v>NOT ELIGIBLE</v>
      </c>
    </row>
    <row r="8" spans="1:11" ht="15.6" x14ac:dyDescent="0.3">
      <c r="A8" s="3" t="s">
        <v>39</v>
      </c>
      <c r="B8" s="4">
        <v>75412</v>
      </c>
      <c r="C8" s="4">
        <v>27770</v>
      </c>
      <c r="D8" s="4">
        <v>42903</v>
      </c>
      <c r="E8" s="4">
        <v>28248</v>
      </c>
      <c r="F8" s="12">
        <f t="shared" si="0"/>
        <v>174333</v>
      </c>
      <c r="G8" s="4" t="str">
        <f t="shared" si="1"/>
        <v>ELIGIBLE</v>
      </c>
    </row>
    <row r="9" spans="1:11" ht="15.6" x14ac:dyDescent="0.3">
      <c r="A9" s="3" t="s">
        <v>40</v>
      </c>
      <c r="B9" s="4">
        <v>51200</v>
      </c>
      <c r="C9" s="4">
        <v>45647</v>
      </c>
      <c r="D9" s="4">
        <v>41177</v>
      </c>
      <c r="E9" s="4">
        <v>35800</v>
      </c>
      <c r="F9" s="12">
        <f t="shared" si="0"/>
        <v>173824</v>
      </c>
      <c r="G9" s="4" t="str">
        <f t="shared" si="1"/>
        <v>ELIGIBLE</v>
      </c>
    </row>
    <row r="10" spans="1:11" ht="15.6" x14ac:dyDescent="0.3">
      <c r="A10" s="3" t="s">
        <v>41</v>
      </c>
      <c r="B10" s="4">
        <v>48990</v>
      </c>
      <c r="C10" s="4">
        <v>28317</v>
      </c>
      <c r="D10" s="4">
        <v>45265</v>
      </c>
      <c r="E10" s="4">
        <v>27515</v>
      </c>
      <c r="F10" s="12">
        <f t="shared" si="0"/>
        <v>150087</v>
      </c>
      <c r="G10" s="4" t="str">
        <f t="shared" si="1"/>
        <v>NOT ELIGIBLE</v>
      </c>
    </row>
    <row r="12" spans="1:11" ht="15.6" x14ac:dyDescent="0.3">
      <c r="A12" s="33" t="s">
        <v>119</v>
      </c>
    </row>
    <row r="13" spans="1:11" ht="18.75" customHeight="1" x14ac:dyDescent="0.3"/>
    <row r="14" spans="1:11" ht="24" customHeight="1" x14ac:dyDescent="0.3"/>
    <row r="16" spans="1:1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</row>
    <row r="17" spans="1:1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</row>
  </sheetData>
  <mergeCells count="1">
    <mergeCell ref="A16:K17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613FB-102F-4B04-957D-D464344E974E}">
  <sheetPr>
    <tabColor rgb="FF00B050"/>
  </sheetPr>
  <dimension ref="A1:U15"/>
  <sheetViews>
    <sheetView zoomScaleNormal="100" workbookViewId="0">
      <selection activeCell="A5" sqref="A5:U5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103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93" customHeight="1" x14ac:dyDescent="0.3">
      <c r="A2" s="39" t="s">
        <v>110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6:U6"/>
    <mergeCell ref="A1:U1"/>
    <mergeCell ref="A2:U2"/>
    <mergeCell ref="A3:U3"/>
    <mergeCell ref="A4:U4"/>
    <mergeCell ref="A5:U5"/>
    <mergeCell ref="A13:U13"/>
    <mergeCell ref="A14:U14"/>
    <mergeCell ref="A15:U15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AE97A-1E7B-411F-A252-E83E0C938E9F}">
  <dimension ref="A1:E7"/>
  <sheetViews>
    <sheetView zoomScale="136" zoomScaleNormal="136" workbookViewId="0">
      <selection activeCell="B8" sqref="B8"/>
    </sheetView>
  </sheetViews>
  <sheetFormatPr defaultColWidth="9.109375" defaultRowHeight="14.4" x14ac:dyDescent="0.3"/>
  <cols>
    <col min="1" max="1" width="4.109375" style="1" bestFit="1" customWidth="1"/>
    <col min="2" max="3" width="9.109375" style="1"/>
    <col min="4" max="4" width="9.109375" style="2"/>
    <col min="5" max="16384" width="9.109375" style="1"/>
  </cols>
  <sheetData>
    <row r="1" spans="1:5" ht="15.6" x14ac:dyDescent="0.3">
      <c r="A1" s="20" t="s">
        <v>5</v>
      </c>
      <c r="B1" s="21" t="s">
        <v>4</v>
      </c>
      <c r="C1" s="21" t="s">
        <v>6</v>
      </c>
      <c r="D1" s="22" t="s">
        <v>7</v>
      </c>
      <c r="E1" s="20" t="s">
        <v>8</v>
      </c>
    </row>
    <row r="2" spans="1:5" x14ac:dyDescent="0.3">
      <c r="A2" s="16">
        <v>1</v>
      </c>
      <c r="B2" s="16" t="s">
        <v>11</v>
      </c>
      <c r="C2" s="16" t="s">
        <v>12</v>
      </c>
      <c r="D2" s="16" t="s">
        <v>13</v>
      </c>
      <c r="E2" s="16">
        <v>1</v>
      </c>
    </row>
    <row r="3" spans="1:5" x14ac:dyDescent="0.3">
      <c r="A3" s="16">
        <v>2</v>
      </c>
      <c r="B3" s="16" t="s">
        <v>14</v>
      </c>
      <c r="C3" s="16" t="s">
        <v>12</v>
      </c>
      <c r="D3" s="16" t="s">
        <v>15</v>
      </c>
      <c r="E3" s="16">
        <v>100</v>
      </c>
    </row>
    <row r="4" spans="1:5" x14ac:dyDescent="0.3">
      <c r="A4" s="16">
        <v>3</v>
      </c>
      <c r="B4" s="16" t="s">
        <v>16</v>
      </c>
      <c r="C4" s="16" t="s">
        <v>12</v>
      </c>
      <c r="D4" s="16" t="s">
        <v>17</v>
      </c>
      <c r="E4" s="16">
        <v>65</v>
      </c>
    </row>
    <row r="5" spans="1:5" x14ac:dyDescent="0.3">
      <c r="A5" s="16">
        <v>4</v>
      </c>
      <c r="B5" s="16" t="s">
        <v>18</v>
      </c>
      <c r="C5" s="16" t="s">
        <v>12</v>
      </c>
      <c r="D5" s="16" t="s">
        <v>19</v>
      </c>
      <c r="E5" s="16">
        <v>25</v>
      </c>
    </row>
    <row r="6" spans="1:5" x14ac:dyDescent="0.3">
      <c r="D6" s="1"/>
    </row>
    <row r="7" spans="1:5" x14ac:dyDescent="0.3">
      <c r="B7" s="27" t="s">
        <v>120</v>
      </c>
    </row>
  </sheetData>
  <dataValidations count="3">
    <dataValidation type="textLength" allowBlank="1" showInputMessage="1" showErrorMessage="1" errorTitle="STOP" error="PLEASE WRITE VALID NO" sqref="D2:D5" xr:uid="{EB653C3E-BC92-44F9-9AA6-C63A4EC6CF1A}">
      <formula1>3</formula1>
      <formula2>5</formula2>
    </dataValidation>
    <dataValidation type="decimal" allowBlank="1" showInputMessage="1" showErrorMessage="1" sqref="E2:E5" xr:uid="{3269A7DB-839E-4FE5-A52F-1CCB1F0F8661}">
      <formula1>0</formula1>
      <formula2>100</formula2>
    </dataValidation>
    <dataValidation type="list" allowBlank="1" showInputMessage="1" showErrorMessage="1" sqref="C2:C5" xr:uid="{84ACFE11-0625-4299-86E7-EB91FF8AB589}">
      <formula1>"MALE,FEMALE"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F76A6-4B29-4034-A0F5-44FB95ED9A28}">
  <sheetPr>
    <tabColor rgb="FF00B050"/>
  </sheetPr>
  <dimension ref="A1:U15"/>
  <sheetViews>
    <sheetView zoomScaleNormal="100" workbookViewId="0">
      <selection activeCell="A7" sqref="A7:U7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104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93" customHeight="1" x14ac:dyDescent="0.3">
      <c r="A2" s="39" t="s">
        <v>55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6:U6"/>
    <mergeCell ref="A1:U1"/>
    <mergeCell ref="A2:U2"/>
    <mergeCell ref="A3:U3"/>
    <mergeCell ref="A4:U4"/>
    <mergeCell ref="A5:U5"/>
    <mergeCell ref="A13:U13"/>
    <mergeCell ref="A14:U14"/>
    <mergeCell ref="A15:U15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F646-A496-4C95-A482-92A0DD2277A4}">
  <dimension ref="A1:G6"/>
  <sheetViews>
    <sheetView zoomScale="136" zoomScaleNormal="136" workbookViewId="0">
      <selection activeCell="H4" sqref="H4"/>
    </sheetView>
  </sheetViews>
  <sheetFormatPr defaultColWidth="9.109375" defaultRowHeight="14.4" x14ac:dyDescent="0.3"/>
  <cols>
    <col min="1" max="1" width="4.109375" style="1" bestFit="1" customWidth="1"/>
    <col min="2" max="16384" width="9.109375" style="1"/>
  </cols>
  <sheetData>
    <row r="1" spans="1:7" ht="15.6" x14ac:dyDescent="0.3">
      <c r="A1" s="20" t="s">
        <v>5</v>
      </c>
      <c r="B1" s="21" t="s">
        <v>4</v>
      </c>
      <c r="C1" s="20" t="s">
        <v>8</v>
      </c>
      <c r="D1" s="21" t="s">
        <v>9</v>
      </c>
      <c r="E1" s="21" t="s">
        <v>10</v>
      </c>
    </row>
    <row r="2" spans="1:7" x14ac:dyDescent="0.3">
      <c r="A2" s="16">
        <v>1</v>
      </c>
      <c r="B2" s="16" t="s">
        <v>11</v>
      </c>
      <c r="C2" s="16">
        <v>56</v>
      </c>
      <c r="D2" s="16">
        <v>87</v>
      </c>
      <c r="E2" s="16">
        <v>12</v>
      </c>
      <c r="G2" s="27"/>
    </row>
    <row r="3" spans="1:7" x14ac:dyDescent="0.3">
      <c r="A3" s="16">
        <v>2</v>
      </c>
      <c r="B3" s="16" t="s">
        <v>14</v>
      </c>
      <c r="C3" s="16">
        <v>98</v>
      </c>
      <c r="D3" s="16">
        <v>98</v>
      </c>
      <c r="E3" s="16">
        <v>45</v>
      </c>
    </row>
    <row r="4" spans="1:7" x14ac:dyDescent="0.3">
      <c r="A4" s="16">
        <v>3</v>
      </c>
      <c r="B4" s="16" t="s">
        <v>16</v>
      </c>
      <c r="C4" s="16">
        <v>68</v>
      </c>
      <c r="D4" s="16">
        <v>67</v>
      </c>
      <c r="E4" s="16">
        <v>65</v>
      </c>
    </row>
    <row r="5" spans="1:7" x14ac:dyDescent="0.3">
      <c r="A5" s="16">
        <v>4</v>
      </c>
      <c r="B5" s="16" t="s">
        <v>18</v>
      </c>
      <c r="C5" s="16">
        <v>57</v>
      </c>
      <c r="D5" s="16">
        <v>87</v>
      </c>
      <c r="E5" s="16">
        <v>84</v>
      </c>
    </row>
    <row r="6" spans="1:7" x14ac:dyDescent="0.3">
      <c r="A6" s="16">
        <v>5</v>
      </c>
      <c r="B6" s="16" t="s">
        <v>20</v>
      </c>
      <c r="C6" s="16">
        <v>54</v>
      </c>
      <c r="D6" s="16">
        <v>47</v>
      </c>
      <c r="E6" s="16">
        <v>54</v>
      </c>
    </row>
  </sheetData>
  <dataValidations count="3">
    <dataValidation type="decimal" allowBlank="1" showInputMessage="1" showErrorMessage="1" errorTitle="STOP" error="PLEASE SELECT 0-100" sqref="C2:D6" xr:uid="{168A9606-240C-4663-8D44-A129EB5D8277}">
      <formula1>0</formula1>
      <formula2>100</formula2>
    </dataValidation>
    <dataValidation type="custom" allowBlank="1" showInputMessage="1" showErrorMessage="1" sqref="G2" xr:uid="{81969950-C0F9-4F6F-9174-BC031783851D}">
      <formula1>ISNUMBER(G2)</formula1>
    </dataValidation>
    <dataValidation type="custom" allowBlank="1" showInputMessage="1" showErrorMessage="1" error="please type no" sqref="E2:E6" xr:uid="{FA17CFBC-FC06-439F-B4F7-66336C38DE67}">
      <formula1>ISNUMBER(E2:E6)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61AE-3E63-4A44-B59F-4E4577303CB7}">
  <sheetPr>
    <tabColor rgb="FF00B050"/>
  </sheetPr>
  <dimension ref="A1:U15"/>
  <sheetViews>
    <sheetView zoomScaleNormal="100" workbookViewId="0">
      <selection activeCell="A6" sqref="A6:U6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105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93" customHeight="1" x14ac:dyDescent="0.3">
      <c r="A2" s="39" t="s">
        <v>56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6:U6"/>
    <mergeCell ref="A1:U1"/>
    <mergeCell ref="A2:U2"/>
    <mergeCell ref="A3:U3"/>
    <mergeCell ref="A4:U4"/>
    <mergeCell ref="A5:U5"/>
    <mergeCell ref="A13:U13"/>
    <mergeCell ref="A14:U14"/>
    <mergeCell ref="A15:U15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67CE-31BA-4331-B779-CA1D3D7B07F7}">
  <dimension ref="A1:F6"/>
  <sheetViews>
    <sheetView zoomScale="136" zoomScaleNormal="136" workbookViewId="0">
      <selection activeCell="G7" sqref="G7"/>
    </sheetView>
  </sheetViews>
  <sheetFormatPr defaultColWidth="9.109375" defaultRowHeight="14.4" x14ac:dyDescent="0.3"/>
  <cols>
    <col min="1" max="1" width="4.109375" style="1" bestFit="1" customWidth="1"/>
    <col min="2" max="5" width="9.109375" style="1"/>
    <col min="6" max="6" width="11" style="1" bestFit="1" customWidth="1"/>
    <col min="7" max="16384" width="9.109375" style="1"/>
  </cols>
  <sheetData>
    <row r="1" spans="1:6" ht="15.6" x14ac:dyDescent="0.3">
      <c r="A1" s="20" t="s">
        <v>5</v>
      </c>
      <c r="B1" s="21" t="s">
        <v>4</v>
      </c>
      <c r="C1" s="20" t="s">
        <v>8</v>
      </c>
      <c r="D1" s="21" t="s">
        <v>9</v>
      </c>
      <c r="E1" s="21" t="s">
        <v>10</v>
      </c>
      <c r="F1" s="28" t="s">
        <v>112</v>
      </c>
    </row>
    <row r="2" spans="1:6" x14ac:dyDescent="0.3">
      <c r="A2" s="16">
        <v>1</v>
      </c>
      <c r="B2" s="16" t="s">
        <v>11</v>
      </c>
      <c r="C2" s="16">
        <v>56</v>
      </c>
      <c r="D2" s="16">
        <v>87</v>
      </c>
      <c r="E2" s="16">
        <v>35</v>
      </c>
      <c r="F2" s="1" t="s">
        <v>113</v>
      </c>
    </row>
    <row r="3" spans="1:6" x14ac:dyDescent="0.3">
      <c r="A3" s="16">
        <v>2</v>
      </c>
      <c r="B3" s="16" t="s">
        <v>14</v>
      </c>
      <c r="C3" s="16">
        <v>98</v>
      </c>
      <c r="D3" s="16">
        <v>98</v>
      </c>
      <c r="E3" s="16">
        <v>68</v>
      </c>
      <c r="F3" s="1" t="s">
        <v>114</v>
      </c>
    </row>
    <row r="4" spans="1:6" x14ac:dyDescent="0.3">
      <c r="A4" s="16">
        <v>3</v>
      </c>
      <c r="B4" s="16" t="s">
        <v>16</v>
      </c>
      <c r="C4" s="16">
        <v>68</v>
      </c>
      <c r="D4" s="16">
        <v>67</v>
      </c>
      <c r="E4" s="16">
        <v>97</v>
      </c>
    </row>
    <row r="5" spans="1:6" x14ac:dyDescent="0.3">
      <c r="A5" s="16">
        <v>4</v>
      </c>
      <c r="B5" s="16" t="s">
        <v>18</v>
      </c>
      <c r="C5" s="16">
        <v>57</v>
      </c>
      <c r="D5" s="16">
        <v>87</v>
      </c>
      <c r="E5" s="16">
        <v>58</v>
      </c>
    </row>
    <row r="6" spans="1:6" x14ac:dyDescent="0.3">
      <c r="A6" s="16">
        <v>5</v>
      </c>
      <c r="B6" s="16" t="s">
        <v>20</v>
      </c>
      <c r="C6" s="16">
        <v>54</v>
      </c>
      <c r="D6" s="16">
        <v>47</v>
      </c>
      <c r="E6" s="16">
        <v>87</v>
      </c>
    </row>
  </sheetData>
  <dataValidations count="2">
    <dataValidation type="decimal" allowBlank="1" showInputMessage="1" showErrorMessage="1" errorTitle="STOP" error="PLEASE SELECT 0-100" sqref="C2:E6" xr:uid="{F5AEF98C-4324-4589-96E7-CEFB36E88621}">
      <formula1>0</formula1>
      <formula2>100</formula2>
    </dataValidation>
    <dataValidation type="custom" allowBlank="1" showInputMessage="1" showErrorMessage="1" sqref="F2:F6" xr:uid="{134F0C15-EE8C-45E3-B62D-E2B6481B20D7}">
      <formula1>ISTEXT(F2:F6)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682CC-66AD-4937-93BC-561CE1301E9D}">
  <sheetPr>
    <tabColor rgb="FF00B050"/>
  </sheetPr>
  <dimension ref="A1:U15"/>
  <sheetViews>
    <sheetView zoomScaleNormal="100" workbookViewId="0">
      <selection activeCell="A6" sqref="A6:U6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106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93" customHeight="1" x14ac:dyDescent="0.3">
      <c r="A2" s="39" t="s">
        <v>57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1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 t="s">
        <v>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ht="23.4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</sheetData>
  <mergeCells count="15">
    <mergeCell ref="A6:U6"/>
    <mergeCell ref="A1:U1"/>
    <mergeCell ref="A2:U2"/>
    <mergeCell ref="A3:U3"/>
    <mergeCell ref="A4:U4"/>
    <mergeCell ref="A5:U5"/>
    <mergeCell ref="A13:U13"/>
    <mergeCell ref="A14:U14"/>
    <mergeCell ref="A15:U15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F3C13-F236-4587-BB94-A410CE63BD86}">
  <dimension ref="A1:F11"/>
  <sheetViews>
    <sheetView tabSelected="1" zoomScale="136" zoomScaleNormal="136" workbookViewId="0">
      <selection activeCell="A2" sqref="A2"/>
    </sheetView>
  </sheetViews>
  <sheetFormatPr defaultColWidth="9.109375" defaultRowHeight="14.4" x14ac:dyDescent="0.3"/>
  <cols>
    <col min="1" max="16384" width="9.109375" style="1"/>
  </cols>
  <sheetData>
    <row r="1" spans="1:6" ht="15.6" x14ac:dyDescent="0.3">
      <c r="A1" s="30" t="s">
        <v>5</v>
      </c>
      <c r="B1" s="31" t="s">
        <v>4</v>
      </c>
      <c r="C1" s="31" t="s">
        <v>6</v>
      </c>
      <c r="D1" s="30" t="s">
        <v>8</v>
      </c>
      <c r="E1" s="31" t="s">
        <v>9</v>
      </c>
      <c r="F1" s="31" t="s">
        <v>10</v>
      </c>
    </row>
    <row r="2" spans="1:6" x14ac:dyDescent="0.3">
      <c r="A2" s="43">
        <v>1</v>
      </c>
      <c r="B2" s="43" t="s">
        <v>11</v>
      </c>
      <c r="C2" s="43" t="s">
        <v>12</v>
      </c>
      <c r="D2" s="42">
        <v>56</v>
      </c>
      <c r="E2" s="42">
        <v>87</v>
      </c>
      <c r="F2" s="42">
        <v>35</v>
      </c>
    </row>
    <row r="3" spans="1:6" x14ac:dyDescent="0.3">
      <c r="A3" s="43">
        <v>2</v>
      </c>
      <c r="B3" s="43" t="s">
        <v>14</v>
      </c>
      <c r="C3" s="43" t="s">
        <v>12</v>
      </c>
      <c r="D3" s="42">
        <v>98</v>
      </c>
      <c r="E3" s="42">
        <v>98</v>
      </c>
      <c r="F3" s="42">
        <v>68</v>
      </c>
    </row>
    <row r="4" spans="1:6" x14ac:dyDescent="0.3">
      <c r="A4" s="43">
        <v>3</v>
      </c>
      <c r="B4" s="43" t="s">
        <v>16</v>
      </c>
      <c r="C4" s="43" t="s">
        <v>12</v>
      </c>
      <c r="D4" s="42">
        <v>68</v>
      </c>
      <c r="E4" s="42">
        <v>67</v>
      </c>
      <c r="F4" s="42">
        <v>97</v>
      </c>
    </row>
    <row r="5" spans="1:6" x14ac:dyDescent="0.3">
      <c r="A5" s="43">
        <v>4</v>
      </c>
      <c r="B5" s="43" t="s">
        <v>18</v>
      </c>
      <c r="C5" s="43" t="s">
        <v>12</v>
      </c>
      <c r="D5" s="42">
        <v>57</v>
      </c>
      <c r="E5" s="42">
        <v>87</v>
      </c>
      <c r="F5" s="42">
        <v>58</v>
      </c>
    </row>
    <row r="6" spans="1:6" x14ac:dyDescent="0.3">
      <c r="A6" s="43">
        <v>5</v>
      </c>
      <c r="B6" s="43" t="s">
        <v>20</v>
      </c>
      <c r="C6" s="43" t="s">
        <v>21</v>
      </c>
      <c r="D6" s="42">
        <v>54</v>
      </c>
      <c r="E6" s="42">
        <v>47</v>
      </c>
      <c r="F6" s="42">
        <v>87</v>
      </c>
    </row>
    <row r="7" spans="1:6" x14ac:dyDescent="0.3">
      <c r="A7" s="43">
        <v>6</v>
      </c>
      <c r="B7" s="43" t="s">
        <v>22</v>
      </c>
      <c r="C7" s="43" t="s">
        <v>12</v>
      </c>
      <c r="D7" s="42">
        <v>24</v>
      </c>
      <c r="E7" s="42">
        <v>52</v>
      </c>
      <c r="F7" s="42">
        <v>45</v>
      </c>
    </row>
    <row r="8" spans="1:6" x14ac:dyDescent="0.3">
      <c r="A8" s="43">
        <v>7</v>
      </c>
      <c r="B8" s="43" t="s">
        <v>23</v>
      </c>
      <c r="C8" s="43" t="s">
        <v>12</v>
      </c>
      <c r="D8" s="42">
        <v>65</v>
      </c>
      <c r="E8" s="42">
        <v>25</v>
      </c>
      <c r="F8" s="42">
        <v>61</v>
      </c>
    </row>
    <row r="9" spans="1:6" x14ac:dyDescent="0.3">
      <c r="A9" s="43">
        <v>8</v>
      </c>
      <c r="B9" s="43" t="s">
        <v>24</v>
      </c>
      <c r="C9" s="43" t="s">
        <v>12</v>
      </c>
      <c r="D9" s="42">
        <v>54</v>
      </c>
      <c r="E9" s="42">
        <v>27</v>
      </c>
      <c r="F9" s="42">
        <v>91</v>
      </c>
    </row>
    <row r="10" spans="1:6" x14ac:dyDescent="0.3">
      <c r="A10" s="43">
        <v>9</v>
      </c>
      <c r="B10" s="43" t="s">
        <v>25</v>
      </c>
      <c r="C10" s="43" t="s">
        <v>12</v>
      </c>
      <c r="D10" s="42">
        <v>32</v>
      </c>
      <c r="E10" s="42">
        <v>87</v>
      </c>
      <c r="F10" s="42">
        <v>93</v>
      </c>
    </row>
    <row r="11" spans="1:6" x14ac:dyDescent="0.3">
      <c r="A11" s="43">
        <v>10</v>
      </c>
      <c r="B11" s="43" t="s">
        <v>26</v>
      </c>
      <c r="C11" s="43" t="s">
        <v>12</v>
      </c>
      <c r="D11" s="42">
        <v>45</v>
      </c>
      <c r="E11" s="42">
        <v>98</v>
      </c>
      <c r="F11" s="42">
        <v>92</v>
      </c>
    </row>
  </sheetData>
  <dataValidations count="2">
    <dataValidation type="decimal" allowBlank="1" showInputMessage="1" showErrorMessage="1" errorTitle="STOP" error="PLEASE SELECT 0-100" sqref="D2:F11" xr:uid="{157F68DF-0C77-4B30-A3BB-55AD2F16DFF2}">
      <formula1>0</formula1>
      <formula2>100</formula2>
    </dataValidation>
    <dataValidation type="list" allowBlank="1" showInputMessage="1" showErrorMessage="1" sqref="C2:C11" xr:uid="{BB039279-44E2-4BC3-A21C-C12F4477EFAB}">
      <formula1>"MALE,FEMALE"</formula1>
    </dataValidation>
  </dataValidation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A1496-9013-4BB8-A1B4-2B81EC148AC3}">
  <sheetPr>
    <tabColor rgb="FF00B050"/>
  </sheetPr>
  <dimension ref="A1:U14"/>
  <sheetViews>
    <sheetView zoomScaleNormal="100" workbookViewId="0">
      <selection activeCell="A6" sqref="A6:U6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107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53.25" customHeight="1" x14ac:dyDescent="0.3">
      <c r="A2" s="39" t="s">
        <v>67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 t="s">
        <v>1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2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</sheetData>
  <mergeCells count="14">
    <mergeCell ref="A12:U12"/>
    <mergeCell ref="A13:U13"/>
    <mergeCell ref="A14:U14"/>
    <mergeCell ref="A6:U6"/>
    <mergeCell ref="A7:U7"/>
    <mergeCell ref="A8:U8"/>
    <mergeCell ref="A9:U9"/>
    <mergeCell ref="A10:U10"/>
    <mergeCell ref="A11:U11"/>
    <mergeCell ref="A5:U5"/>
    <mergeCell ref="A1:U1"/>
    <mergeCell ref="A2:U2"/>
    <mergeCell ref="A3:U3"/>
    <mergeCell ref="A4:U4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3DBA2-0F00-43DD-A95E-2AB34397B76F}">
  <dimension ref="A1:J10"/>
  <sheetViews>
    <sheetView workbookViewId="0">
      <selection activeCell="M5" sqref="M5"/>
    </sheetView>
  </sheetViews>
  <sheetFormatPr defaultColWidth="9.109375" defaultRowHeight="14.4" x14ac:dyDescent="0.3"/>
  <cols>
    <col min="1" max="1" width="14.33203125" style="1" customWidth="1"/>
    <col min="2" max="2" width="20.33203125" style="1" bestFit="1" customWidth="1"/>
    <col min="3" max="6" width="11.5546875" style="1" bestFit="1" customWidth="1"/>
    <col min="7" max="8" width="9.109375" style="1"/>
    <col min="9" max="9" width="19.6640625" style="1" bestFit="1" customWidth="1"/>
    <col min="10" max="10" width="15.109375" style="1" customWidth="1"/>
    <col min="11" max="16384" width="9.109375" style="1"/>
  </cols>
  <sheetData>
    <row r="1" spans="1:10" ht="18" x14ac:dyDescent="0.35">
      <c r="A1" s="17" t="s">
        <v>71</v>
      </c>
      <c r="B1" s="17" t="s">
        <v>74</v>
      </c>
      <c r="C1" s="17" t="s">
        <v>28</v>
      </c>
      <c r="D1" s="17" t="s">
        <v>29</v>
      </c>
      <c r="E1" s="17" t="s">
        <v>30</v>
      </c>
      <c r="F1" s="17" t="s">
        <v>31</v>
      </c>
    </row>
    <row r="2" spans="1:10" ht="18" x14ac:dyDescent="0.35">
      <c r="A2" s="3">
        <v>1001</v>
      </c>
      <c r="B2" s="3" t="s">
        <v>33</v>
      </c>
      <c r="C2" s="3">
        <v>32000</v>
      </c>
      <c r="D2" s="3">
        <v>38564</v>
      </c>
      <c r="E2" s="3">
        <v>35380</v>
      </c>
      <c r="F2" s="3">
        <v>41635</v>
      </c>
      <c r="I2" s="15" t="s">
        <v>72</v>
      </c>
      <c r="J2" s="11">
        <v>1010</v>
      </c>
    </row>
    <row r="3" spans="1:10" ht="18" x14ac:dyDescent="0.35">
      <c r="A3" s="3">
        <v>1002</v>
      </c>
      <c r="B3" s="3" t="s">
        <v>34</v>
      </c>
      <c r="C3" s="3">
        <v>47500</v>
      </c>
      <c r="D3" s="3">
        <v>65822</v>
      </c>
      <c r="E3" s="3">
        <v>49066</v>
      </c>
      <c r="F3" s="3">
        <v>43695</v>
      </c>
      <c r="I3" s="15" t="s">
        <v>73</v>
      </c>
      <c r="J3" s="26" t="str">
        <f>IFERROR(VLOOKUP(J2,A2:F10,2,FALSE),"")</f>
        <v/>
      </c>
    </row>
    <row r="4" spans="1:10" ht="18" x14ac:dyDescent="0.35">
      <c r="A4" s="3">
        <v>1003</v>
      </c>
      <c r="B4" s="3" t="s">
        <v>35</v>
      </c>
      <c r="C4" s="3">
        <v>53000</v>
      </c>
      <c r="D4" s="3">
        <v>45112</v>
      </c>
      <c r="E4" s="3">
        <v>40100</v>
      </c>
      <c r="F4" s="3">
        <v>42561</v>
      </c>
      <c r="I4" s="15" t="s">
        <v>28</v>
      </c>
      <c r="J4" s="16" t="str">
        <f>IFERROR(VLOOKUP(J2,A2:F10,3,0),"NOT FOUND")</f>
        <v>NOT FOUND</v>
      </c>
    </row>
    <row r="5" spans="1:10" ht="18" x14ac:dyDescent="0.35">
      <c r="A5" s="3">
        <v>1004</v>
      </c>
      <c r="B5" s="3" t="s">
        <v>36</v>
      </c>
      <c r="C5" s="3">
        <v>28750</v>
      </c>
      <c r="D5" s="3">
        <v>39348</v>
      </c>
      <c r="E5" s="3">
        <v>47254</v>
      </c>
      <c r="F5" s="3">
        <v>39330</v>
      </c>
      <c r="I5" s="15" t="s">
        <v>29</v>
      </c>
      <c r="J5" s="16"/>
    </row>
    <row r="6" spans="1:10" ht="18" x14ac:dyDescent="0.35">
      <c r="A6" s="3">
        <v>1005</v>
      </c>
      <c r="B6" s="3" t="s">
        <v>37</v>
      </c>
      <c r="C6" s="3">
        <v>37650</v>
      </c>
      <c r="D6" s="3">
        <v>41317</v>
      </c>
      <c r="E6" s="3">
        <v>40534</v>
      </c>
      <c r="F6" s="3">
        <v>42400</v>
      </c>
      <c r="I6" s="15" t="s">
        <v>30</v>
      </c>
      <c r="J6" s="16"/>
    </row>
    <row r="7" spans="1:10" ht="18" x14ac:dyDescent="0.35">
      <c r="A7" s="3">
        <v>1006</v>
      </c>
      <c r="B7" s="3" t="s">
        <v>38</v>
      </c>
      <c r="C7" s="3">
        <v>29995</v>
      </c>
      <c r="D7" s="3">
        <v>42620</v>
      </c>
      <c r="E7" s="3">
        <v>33081</v>
      </c>
      <c r="F7" s="3">
        <v>38432</v>
      </c>
      <c r="I7" s="15" t="s">
        <v>31</v>
      </c>
      <c r="J7" s="16"/>
    </row>
    <row r="8" spans="1:10" ht="15.6" x14ac:dyDescent="0.3">
      <c r="A8" s="3">
        <v>1007</v>
      </c>
      <c r="B8" s="3" t="s">
        <v>39</v>
      </c>
      <c r="C8" s="3">
        <v>75412</v>
      </c>
      <c r="D8" s="3">
        <v>27770</v>
      </c>
      <c r="E8" s="3">
        <v>42903</v>
      </c>
      <c r="F8" s="3">
        <v>28248</v>
      </c>
    </row>
    <row r="9" spans="1:10" ht="15.6" x14ac:dyDescent="0.3">
      <c r="A9" s="3">
        <v>1008</v>
      </c>
      <c r="B9" s="3" t="s">
        <v>40</v>
      </c>
      <c r="C9" s="3">
        <v>42000</v>
      </c>
      <c r="D9" s="3">
        <v>45647</v>
      </c>
      <c r="E9" s="3">
        <v>41177</v>
      </c>
      <c r="F9" s="3">
        <v>35800</v>
      </c>
    </row>
    <row r="10" spans="1:10" ht="15.6" x14ac:dyDescent="0.3">
      <c r="A10" s="3">
        <v>1009</v>
      </c>
      <c r="B10" s="3" t="s">
        <v>41</v>
      </c>
      <c r="C10" s="3">
        <v>48990</v>
      </c>
      <c r="D10" s="3">
        <v>28317</v>
      </c>
      <c r="E10" s="3">
        <v>45265</v>
      </c>
      <c r="F10" s="3">
        <v>27515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492C-2D09-419A-9F6D-7DEF6AAD1BC3}">
  <sheetPr>
    <tabColor rgb="FF00B050"/>
  </sheetPr>
  <dimension ref="A1:U14"/>
  <sheetViews>
    <sheetView zoomScaleNormal="100" workbookViewId="0">
      <selection activeCell="A10" sqref="A10:U10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108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53.25" customHeight="1" x14ac:dyDescent="0.3">
      <c r="A2" s="39" t="s">
        <v>69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 t="s">
        <v>1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2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</sheetData>
  <mergeCells count="14">
    <mergeCell ref="A6:U6"/>
    <mergeCell ref="A1:U1"/>
    <mergeCell ref="A2:U2"/>
    <mergeCell ref="A3:U3"/>
    <mergeCell ref="A4:U4"/>
    <mergeCell ref="A5:U5"/>
    <mergeCell ref="A13:U13"/>
    <mergeCell ref="A14:U14"/>
    <mergeCell ref="A7:U7"/>
    <mergeCell ref="A8:U8"/>
    <mergeCell ref="A9:U9"/>
    <mergeCell ref="A10:U10"/>
    <mergeCell ref="A11:U11"/>
    <mergeCell ref="A12:U12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6A65F-33B8-4E9B-AF46-4FBD1077BDED}">
  <dimension ref="A1:G6"/>
  <sheetViews>
    <sheetView zoomScale="136" zoomScaleNormal="136" workbookViewId="0">
      <selection activeCell="N10" sqref="N10"/>
    </sheetView>
  </sheetViews>
  <sheetFormatPr defaultColWidth="9.109375" defaultRowHeight="14.4" x14ac:dyDescent="0.3"/>
  <cols>
    <col min="1" max="16384" width="9.109375" style="1"/>
  </cols>
  <sheetData>
    <row r="1" spans="1:7" ht="15.6" x14ac:dyDescent="0.3">
      <c r="A1" s="20" t="s">
        <v>5</v>
      </c>
      <c r="B1" s="21" t="s">
        <v>4</v>
      </c>
      <c r="C1" s="21" t="s">
        <v>6</v>
      </c>
      <c r="D1" s="20" t="s">
        <v>8</v>
      </c>
      <c r="E1" s="21" t="s">
        <v>9</v>
      </c>
      <c r="F1" s="21" t="s">
        <v>10</v>
      </c>
      <c r="G1" s="28" t="s">
        <v>111</v>
      </c>
    </row>
    <row r="2" spans="1:7" x14ac:dyDescent="0.3">
      <c r="A2" s="16">
        <v>1</v>
      </c>
      <c r="B2" s="16" t="s">
        <v>11</v>
      </c>
      <c r="C2" s="16" t="s">
        <v>12</v>
      </c>
      <c r="D2" s="16">
        <v>56</v>
      </c>
      <c r="E2" s="16">
        <v>87</v>
      </c>
      <c r="F2" s="16">
        <v>35</v>
      </c>
      <c r="G2" s="29">
        <v>12</v>
      </c>
    </row>
    <row r="3" spans="1:7" x14ac:dyDescent="0.3">
      <c r="A3" s="16">
        <v>2</v>
      </c>
      <c r="B3" s="16" t="s">
        <v>14</v>
      </c>
      <c r="C3" s="16" t="s">
        <v>12</v>
      </c>
      <c r="D3" s="16">
        <v>98</v>
      </c>
      <c r="E3" s="16">
        <v>98</v>
      </c>
      <c r="F3" s="16">
        <v>68</v>
      </c>
      <c r="G3" s="29">
        <v>32</v>
      </c>
    </row>
    <row r="4" spans="1:7" x14ac:dyDescent="0.3">
      <c r="A4" s="16">
        <v>3</v>
      </c>
      <c r="B4" s="16" t="s">
        <v>16</v>
      </c>
      <c r="C4" s="16" t="s">
        <v>12</v>
      </c>
      <c r="D4" s="16">
        <v>68</v>
      </c>
      <c r="E4" s="16">
        <v>67</v>
      </c>
      <c r="F4" s="16">
        <v>97</v>
      </c>
      <c r="G4" s="1" t="s">
        <v>115</v>
      </c>
    </row>
    <row r="5" spans="1:7" x14ac:dyDescent="0.3">
      <c r="A5" s="16">
        <v>4</v>
      </c>
      <c r="B5" s="16" t="s">
        <v>18</v>
      </c>
      <c r="C5" s="16" t="s">
        <v>12</v>
      </c>
      <c r="D5" s="16">
        <v>57</v>
      </c>
      <c r="E5" s="16">
        <v>87</v>
      </c>
      <c r="F5" s="16">
        <v>58</v>
      </c>
      <c r="G5" s="29">
        <v>21</v>
      </c>
    </row>
    <row r="6" spans="1:7" x14ac:dyDescent="0.3">
      <c r="A6" s="16">
        <v>5</v>
      </c>
      <c r="B6" s="16" t="s">
        <v>20</v>
      </c>
      <c r="C6" s="16" t="s">
        <v>21</v>
      </c>
      <c r="D6" s="16">
        <v>54</v>
      </c>
      <c r="E6" s="16">
        <v>47</v>
      </c>
      <c r="F6" s="16">
        <v>87</v>
      </c>
    </row>
  </sheetData>
  <dataValidations count="3">
    <dataValidation type="decimal" allowBlank="1" showInputMessage="1" showErrorMessage="1" errorTitle="STOP" error="PLEASE SELECT 0-100" sqref="D2:F6" xr:uid="{CA55E6FE-B7EC-44FD-914A-67AEE2BD0527}">
      <formula1>0</formula1>
      <formula2>100</formula2>
    </dataValidation>
    <dataValidation type="list" allowBlank="1" showInputMessage="1" showErrorMessage="1" sqref="C2:C6" xr:uid="{F04F7CC3-71BB-4205-BDA8-ECE154B69146}">
      <formula1>"MALE,FEMALE"</formula1>
    </dataValidation>
    <dataValidation type="custom" allowBlank="1" showInputMessage="1" showErrorMessage="1" sqref="G2:G6" xr:uid="{99F50DAE-510E-4FD1-8D52-87C3EA2607D7}">
      <formula1>LEN(G2:G6)=2</formula1>
    </dataValidation>
  </dataValidation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1B93E-2234-40E9-9F91-0BED519D93B2}">
  <sheetPr>
    <tabColor rgb="FF00B050"/>
  </sheetPr>
  <dimension ref="A1:U14"/>
  <sheetViews>
    <sheetView zoomScaleNormal="100" workbookViewId="0">
      <selection activeCell="A7" sqref="A7:U7"/>
    </sheetView>
  </sheetViews>
  <sheetFormatPr defaultColWidth="9.109375" defaultRowHeight="14.4" x14ac:dyDescent="0.3"/>
  <cols>
    <col min="1" max="8" width="9.109375" style="13"/>
    <col min="9" max="9" width="10" style="13" customWidth="1"/>
    <col min="10" max="20" width="9.109375" style="13"/>
    <col min="21" max="21" width="5.109375" style="13" customWidth="1"/>
    <col min="22" max="16384" width="9.109375" style="13"/>
  </cols>
  <sheetData>
    <row r="1" spans="1:21" ht="24" x14ac:dyDescent="0.3">
      <c r="A1" s="38" t="s">
        <v>109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53.25" customHeight="1" x14ac:dyDescent="0.3">
      <c r="A2" s="39" t="s">
        <v>79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ht="23.4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23.4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ht="23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ht="23.4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ht="23.4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ht="23.4" x14ac:dyDescent="0.3">
      <c r="A8" s="37" t="s">
        <v>1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ht="23.4" x14ac:dyDescent="0.3">
      <c r="A9" s="37" t="s">
        <v>2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23.4" x14ac:dyDescent="0.3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23.4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ht="23.4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ht="23.4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ht="23.4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</sheetData>
  <mergeCells count="14">
    <mergeCell ref="A13:U13"/>
    <mergeCell ref="A14:U14"/>
    <mergeCell ref="A7:U7"/>
    <mergeCell ref="A8:U8"/>
    <mergeCell ref="A9:U9"/>
    <mergeCell ref="A10:U10"/>
    <mergeCell ref="A11:U11"/>
    <mergeCell ref="A12:U12"/>
    <mergeCell ref="A6:U6"/>
    <mergeCell ref="A1:U1"/>
    <mergeCell ref="A2:U2"/>
    <mergeCell ref="A3:U3"/>
    <mergeCell ref="A4:U4"/>
    <mergeCell ref="A5:U5"/>
  </mergeCell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3279-EAAA-4841-AE28-B09F985EEDD8}">
  <dimension ref="A1:G16"/>
  <sheetViews>
    <sheetView zoomScale="110" zoomScaleNormal="110" workbookViewId="0">
      <selection activeCell="H15" sqref="H15"/>
    </sheetView>
  </sheetViews>
  <sheetFormatPr defaultColWidth="9.109375" defaultRowHeight="14.4" x14ac:dyDescent="0.3"/>
  <cols>
    <col min="1" max="1" width="9.109375" style="1"/>
    <col min="2" max="2" width="20.5546875" style="2" bestFit="1" customWidth="1"/>
    <col min="3" max="3" width="9.33203125" style="2" bestFit="1" customWidth="1"/>
    <col min="4" max="4" width="9.33203125" style="2" customWidth="1"/>
    <col min="5" max="5" width="9.109375" style="1"/>
    <col min="6" max="6" width="34.33203125" style="1" bestFit="1" customWidth="1"/>
    <col min="7" max="7" width="17.44140625" style="1" customWidth="1"/>
    <col min="8" max="8" width="12.5546875" style="1" customWidth="1"/>
    <col min="9" max="16384" width="9.109375" style="1"/>
  </cols>
  <sheetData>
    <row r="1" spans="1:7" ht="32.25" customHeight="1" x14ac:dyDescent="0.3">
      <c r="A1" s="23" t="s">
        <v>80</v>
      </c>
      <c r="B1" s="23" t="s">
        <v>52</v>
      </c>
      <c r="C1" s="23" t="s">
        <v>81</v>
      </c>
      <c r="D1" s="24" t="s">
        <v>82</v>
      </c>
      <c r="F1" s="41"/>
      <c r="G1" s="41"/>
    </row>
    <row r="2" spans="1:7" x14ac:dyDescent="0.3">
      <c r="A2" s="25">
        <v>1</v>
      </c>
      <c r="B2" s="1" t="s">
        <v>83</v>
      </c>
      <c r="C2" s="1" t="s">
        <v>21</v>
      </c>
      <c r="D2" s="25">
        <v>35</v>
      </c>
      <c r="F2" s="7" t="s">
        <v>84</v>
      </c>
      <c r="G2" s="7" t="s">
        <v>94</v>
      </c>
    </row>
    <row r="3" spans="1:7" x14ac:dyDescent="0.3">
      <c r="A3" s="25">
        <v>2</v>
      </c>
      <c r="B3" s="1" t="s">
        <v>85</v>
      </c>
      <c r="C3" s="1" t="s">
        <v>21</v>
      </c>
      <c r="D3" s="25">
        <v>32</v>
      </c>
      <c r="F3" s="11" t="s">
        <v>95</v>
      </c>
      <c r="G3" s="16">
        <f>COUNTIF(C2:C11,"MALE")</f>
        <v>7</v>
      </c>
    </row>
    <row r="4" spans="1:7" x14ac:dyDescent="0.3">
      <c r="A4" s="25">
        <v>3</v>
      </c>
      <c r="B4" s="1" t="s">
        <v>86</v>
      </c>
      <c r="C4" s="1" t="s">
        <v>12</v>
      </c>
      <c r="D4" s="25">
        <v>21</v>
      </c>
      <c r="F4" s="11" t="s">
        <v>116</v>
      </c>
      <c r="G4" s="16">
        <f>COUNTIF(C2:C11,C8)</f>
        <v>3</v>
      </c>
    </row>
    <row r="5" spans="1:7" x14ac:dyDescent="0.3">
      <c r="A5" s="25">
        <v>4</v>
      </c>
      <c r="B5" s="1" t="s">
        <v>87</v>
      </c>
      <c r="C5" s="1" t="s">
        <v>12</v>
      </c>
      <c r="D5" s="25">
        <v>25</v>
      </c>
      <c r="F5"/>
      <c r="G5"/>
    </row>
    <row r="6" spans="1:7" x14ac:dyDescent="0.3">
      <c r="A6" s="25">
        <v>5</v>
      </c>
      <c r="B6" s="1" t="s">
        <v>88</v>
      </c>
      <c r="C6" s="1" t="s">
        <v>12</v>
      </c>
      <c r="D6" s="25">
        <v>26</v>
      </c>
      <c r="F6"/>
      <c r="G6"/>
    </row>
    <row r="7" spans="1:7" x14ac:dyDescent="0.3">
      <c r="A7" s="25">
        <v>6</v>
      </c>
      <c r="B7" s="1" t="s">
        <v>89</v>
      </c>
      <c r="C7" s="1" t="s">
        <v>12</v>
      </c>
      <c r="D7" s="25">
        <v>24</v>
      </c>
      <c r="F7"/>
      <c r="G7"/>
    </row>
    <row r="8" spans="1:7" x14ac:dyDescent="0.3">
      <c r="A8" s="25">
        <v>7</v>
      </c>
      <c r="B8" s="1" t="s">
        <v>90</v>
      </c>
      <c r="C8" s="1" t="s">
        <v>21</v>
      </c>
      <c r="D8" s="25">
        <v>36</v>
      </c>
      <c r="F8"/>
      <c r="G8"/>
    </row>
    <row r="9" spans="1:7" x14ac:dyDescent="0.3">
      <c r="A9" s="25">
        <v>8</v>
      </c>
      <c r="B9" s="1" t="s">
        <v>91</v>
      </c>
      <c r="C9" s="1" t="s">
        <v>12</v>
      </c>
      <c r="D9" s="25">
        <v>42</v>
      </c>
      <c r="F9"/>
      <c r="G9"/>
    </row>
    <row r="10" spans="1:7" x14ac:dyDescent="0.3">
      <c r="A10" s="25">
        <v>9</v>
      </c>
      <c r="B10" s="1" t="s">
        <v>92</v>
      </c>
      <c r="C10" s="1" t="s">
        <v>12</v>
      </c>
      <c r="D10" s="25">
        <v>45</v>
      </c>
    </row>
    <row r="11" spans="1:7" x14ac:dyDescent="0.3">
      <c r="A11" s="25">
        <v>10</v>
      </c>
      <c r="B11" s="1" t="s">
        <v>93</v>
      </c>
      <c r="C11" s="1" t="s">
        <v>12</v>
      </c>
      <c r="D11" s="25">
        <v>47</v>
      </c>
    </row>
    <row r="12" spans="1:7" x14ac:dyDescent="0.3">
      <c r="F12"/>
      <c r="G12"/>
    </row>
    <row r="13" spans="1:7" x14ac:dyDescent="0.3">
      <c r="F13"/>
      <c r="G13"/>
    </row>
    <row r="14" spans="1:7" x14ac:dyDescent="0.3">
      <c r="F14"/>
      <c r="G14"/>
    </row>
    <row r="15" spans="1:7" x14ac:dyDescent="0.3">
      <c r="F15"/>
      <c r="G15"/>
    </row>
    <row r="16" spans="1:7" x14ac:dyDescent="0.3">
      <c r="F16"/>
      <c r="G16"/>
    </row>
  </sheetData>
  <mergeCells count="1">
    <mergeCell ref="F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DATA ENTRY RELATED FUNCTION </vt:lpstr>
      <vt:lpstr>01 VLOOKUP</vt:lpstr>
      <vt:lpstr>VLOOKUP </vt:lpstr>
      <vt:lpstr>02 AND</vt:lpstr>
      <vt:lpstr>AND</vt:lpstr>
      <vt:lpstr>03  UPPER </vt:lpstr>
      <vt:lpstr>UPPER</vt:lpstr>
      <vt:lpstr>04 EXACT</vt:lpstr>
      <vt:lpstr>EXACT</vt:lpstr>
      <vt:lpstr>05 IF</vt:lpstr>
      <vt:lpstr>IF</vt:lpstr>
      <vt:lpstr>06 DATA VALIDATION </vt:lpstr>
      <vt:lpstr>DATA VALIDATION</vt:lpstr>
      <vt:lpstr>07 ISNUMBER </vt:lpstr>
      <vt:lpstr>ISNUMBER</vt:lpstr>
      <vt:lpstr>08 ISTEXT</vt:lpstr>
      <vt:lpstr>ISTEXT</vt:lpstr>
      <vt:lpstr>09 MACRO RECORD </vt:lpstr>
      <vt:lpstr>MACRO RECORD </vt:lpstr>
      <vt:lpstr>10 IFERROR </vt:lpstr>
      <vt:lpstr>IFERROR</vt:lpstr>
      <vt:lpstr>11 LEN</vt:lpstr>
      <vt:lpstr>LEN</vt:lpstr>
      <vt:lpstr>12 COUNTIF</vt:lpstr>
      <vt:lpstr>COUNTIF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MUBEEN</dc:creator>
  <cp:lastModifiedBy>Akshay Anand</cp:lastModifiedBy>
  <dcterms:created xsi:type="dcterms:W3CDTF">2020-03-12T04:58:37Z</dcterms:created>
  <dcterms:modified xsi:type="dcterms:W3CDTF">2022-09-16T01:28:02Z</dcterms:modified>
</cp:coreProperties>
</file>